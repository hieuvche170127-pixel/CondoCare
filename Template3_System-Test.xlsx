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earning\University\SWP391\CondoCare\CondoCare\"/>
    </mc:Choice>
  </mc:AlternateContent>
  <xr:revisionPtr revIDLastSave="0" documentId="13_ncr:1_{3878A0AC-FCAD-4D4F-9D8B-041E4ABB166F}" xr6:coauthVersionLast="47" xr6:coauthVersionMax="47" xr10:uidLastSave="{00000000-0000-0000-0000-000000000000}"/>
  <bookViews>
    <workbookView xWindow="-108" yWindow="-108" windowWidth="23256" windowHeight="13176" tabRatio="821" firstSheet="1" activeTab="7" xr2:uid="{00000000-000D-0000-FFFF-FFFF00000000}"/>
  </bookViews>
  <sheets>
    <sheet name="Cover" sheetId="9" r:id="rId1"/>
    <sheet name="Test Cases" sheetId="2" r:id="rId2"/>
    <sheet name="Test Statistics" sheetId="5" r:id="rId3"/>
    <sheet name="Workflow Authentication " sheetId="3" r:id="rId4"/>
    <sheet name="Workflow Dashboard" sheetId="10" r:id="rId5"/>
    <sheet name="Workflow Management" sheetId="12" r:id="rId6"/>
    <sheet name="Workflow Invoice" sheetId="13" r:id="rId7"/>
    <sheet name="Workflow Request" sheetId="8" r:id="rId8"/>
  </sheets>
  <definedNames>
    <definedName name="_xlnm._FilterDatabase" localSheetId="3" hidden="1">'Workflow Authentication '!$A$10:$O$17</definedName>
    <definedName name="_xlnm._FilterDatabase" localSheetId="4" hidden="1">'Workflow Dashboard'!$A$10:$O$13</definedName>
    <definedName name="_xlnm._FilterDatabase" localSheetId="6" hidden="1">'Workflow Invoice'!$A$10:$O$17</definedName>
    <definedName name="_xlnm._FilterDatabase" localSheetId="5" hidden="1">'Workflow Management'!$A$10:$O$19</definedName>
    <definedName name="_xlnm._FilterDatabase" localSheetId="7" hidden="1">'Workflow Request'!$A$10:$O$17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5" l="1"/>
  <c r="F12" i="5"/>
  <c r="D12" i="5"/>
  <c r="C12" i="5"/>
  <c r="C11" i="5"/>
  <c r="E8" i="13"/>
  <c r="D8" i="13"/>
  <c r="C8" i="13"/>
  <c r="B8" i="13"/>
  <c r="E7" i="13"/>
  <c r="D7" i="13"/>
  <c r="C7" i="13"/>
  <c r="B7" i="13"/>
  <c r="E6" i="13"/>
  <c r="D6" i="13"/>
  <c r="C6" i="13"/>
  <c r="B6" i="13"/>
  <c r="B4" i="13"/>
  <c r="E8" i="12"/>
  <c r="D8" i="12"/>
  <c r="C8" i="12"/>
  <c r="B8" i="12"/>
  <c r="E7" i="12"/>
  <c r="D7" i="12"/>
  <c r="C7" i="12"/>
  <c r="B7" i="12"/>
  <c r="E6" i="12"/>
  <c r="D6" i="12"/>
  <c r="C6" i="12"/>
  <c r="B6" i="12"/>
  <c r="B4" i="12"/>
  <c r="E8" i="10"/>
  <c r="D8" i="10"/>
  <c r="C8" i="10"/>
  <c r="B8" i="10"/>
  <c r="E7" i="10"/>
  <c r="D7" i="10"/>
  <c r="C7" i="10"/>
  <c r="B7" i="10"/>
  <c r="E6" i="10"/>
  <c r="D6" i="10"/>
  <c r="C6" i="10"/>
  <c r="B6" i="10"/>
  <c r="B4" i="10"/>
  <c r="B6" i="9"/>
  <c r="E8" i="8"/>
  <c r="D8" i="8"/>
  <c r="C8" i="8"/>
  <c r="B8" i="8"/>
  <c r="E7" i="8"/>
  <c r="D7" i="8"/>
  <c r="C7" i="8"/>
  <c r="B7" i="8"/>
  <c r="E6" i="8"/>
  <c r="G12" i="5" s="1"/>
  <c r="D6" i="8"/>
  <c r="C6" i="8"/>
  <c r="B6" i="8"/>
  <c r="B4" i="8"/>
  <c r="H12" i="5" s="1"/>
  <c r="C7" i="3"/>
  <c r="D7" i="3"/>
  <c r="E7" i="3"/>
  <c r="C8" i="3"/>
  <c r="D8" i="3"/>
  <c r="E8" i="3"/>
  <c r="B8" i="3"/>
  <c r="B7" i="3"/>
  <c r="C6" i="3"/>
  <c r="E11" i="5" s="1"/>
  <c r="D6" i="3"/>
  <c r="F11" i="5" s="1"/>
  <c r="E6" i="3"/>
  <c r="G11" i="5" s="1"/>
  <c r="B6" i="3"/>
  <c r="D11" i="5" s="1"/>
  <c r="D3" i="2" l="1"/>
  <c r="D4" i="2"/>
  <c r="C5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5873010-FAD2-48A6-9F5F-576D8502EA2A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641E7A6-D683-41DC-9B09-0459EFBA4D7C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1C20E34E-6A01-47BD-B239-39FCADDFB01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<sst xmlns="http://schemas.openxmlformats.org/spreadsheetml/2006/main" count="455" uniqueCount="120">
  <si>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</si>
  <si>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</si>
  <si>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</si>
  <si>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</si>
  <si>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</si>
  <si>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</si>
  <si>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</si>
  <si>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</si>
  <si>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</si>
  <si>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</si>
  <si>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</si>
  <si>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</si>
  <si>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</si>
  <si>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</si>
  <si>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</si>
  <si>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</si>
  <si>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</si>
  <si>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</si>
  <si>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</si>
  <si>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</si>
  <si>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</si>
  <si>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</si>
  <si>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</si>
  <si>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</si>
  <si>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</si>
  <si>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</si>
  <si>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</si>
  <si>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</si>
  <si>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</si>
  <si>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</si>
  <si>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</si>
  <si>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</si>
  <si>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</si>
  <si>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</si>
  <si>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</si>
  <si>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</si>
  <si>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</si>
  <si>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</si>
  <si>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</si>
  <si>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</si>
  <si>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</si>
  <si>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</si>
  <si>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</si>
  <si>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</si>
  <si>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</si>
  <si>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</si>
  <si>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</si>
  <si>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</si>
  <si>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</si>
  <si>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</si>
  <si>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</si>
  <si>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</si>
  <si>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</si>
  <si>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</si>
  <si>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</si>
  <si>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</si>
  <si>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</si>
  <si>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</si>
  <si>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</si>
  <si>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</si>
  <si>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</si>
  <si>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</si>
  <si>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</si>
  <si>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</si>
  <si>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</si>
  <si>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</si>
  <si>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</si>
  <si>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</si>
  <si>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</si>
  <si>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</si>
  <si>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</si>
  <si>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</si>
  <si>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&lt;List of documents which are refered in this version.&gt;</t>
  </si>
  <si>
    <t>SYSTEM TEST REPORT DOCUMENT</t>
  </si>
  <si>
    <t>Workflow</t>
  </si>
  <si>
    <t>&lt;Workflow Name2&gt;</t>
  </si>
  <si>
    <t>Workflow Name1</t>
  </si>
  <si>
    <t>Workflow Name2</t>
  </si>
  <si>
    <t>Scenario A</t>
  </si>
  <si>
    <t>Scenario B</t>
  </si>
  <si>
    <t>Scenario C</t>
  </si>
  <si>
    <t>Scenario D</t>
  </si>
  <si>
    <t>Scenario E</t>
  </si>
  <si>
    <r>
      <rPr>
        <sz val="10"/>
        <rFont val="Tahoma"/>
        <family val="2"/>
      </rPr>
      <t>Tài khoản Staff, Manager, Staff</t>
    </r>
    <r>
      <rPr>
        <i/>
        <sz val="10"/>
        <color indexed="17"/>
        <rFont val="Tahoma"/>
        <family val="2"/>
      </rPr>
      <t xml:space="preserve">
</t>
    </r>
  </si>
  <si>
    <t xml:space="preserve">Đăng nhập thành công </t>
  </si>
  <si>
    <t>Login with valid Staff credentials</t>
  </si>
  <si>
    <r>
      <rPr>
        <sz val="10"/>
        <rFont val="Tahoma"/>
        <family val="2"/>
      </rPr>
      <t>Tài khoản Resident</t>
    </r>
    <r>
      <rPr>
        <i/>
        <sz val="10"/>
        <color indexed="17"/>
        <rFont val="Tahoma"/>
        <family val="2"/>
      </rPr>
      <t xml:space="preserve">
</t>
    </r>
  </si>
  <si>
    <t>23/3</t>
  </si>
  <si>
    <t>24/3</t>
  </si>
  <si>
    <t>Hieu</t>
  </si>
  <si>
    <t>Login with wrong password</t>
  </si>
  <si>
    <t>Login the system with wrong password</t>
  </si>
  <si>
    <t>Đăng nhập thất bại</t>
  </si>
  <si>
    <r>
      <rPr>
        <sz val="10"/>
        <rFont val="Tahoma"/>
        <family val="2"/>
      </rPr>
      <t>Tài khoản Staff, Manager, Staff, Resident</t>
    </r>
    <r>
      <rPr>
        <i/>
        <sz val="10"/>
        <color indexed="17"/>
        <rFont val="Tahoma"/>
        <family val="2"/>
      </rPr>
      <t xml:space="preserve">
</t>
    </r>
  </si>
  <si>
    <t>Login with non-existent username</t>
  </si>
  <si>
    <t xml:space="preserve">Login the system with Manager role.
</t>
  </si>
  <si>
    <t xml:space="preserve">Login the system with Resident role.
</t>
  </si>
  <si>
    <t>Login the system with non-existent username</t>
  </si>
  <si>
    <t>&lt;ID7&gt;</t>
  </si>
  <si>
    <t>Register new resident account</t>
  </si>
  <si>
    <t>Register new resident account in to the system</t>
  </si>
  <si>
    <t>Tạo tài khoản thành công</t>
  </si>
  <si>
    <t xml:space="preserve">Register with duplicate </t>
  </si>
  <si>
    <t>Bị lặp với username, email, sđt</t>
  </si>
  <si>
    <t>Tạo tài khoản thất bại</t>
  </si>
  <si>
    <t>Đăng ký tài khoản vào hệ thống nhưng không thành công vì bị lặp</t>
  </si>
  <si>
    <t>Điền đầy đủ thông tin như username, tên, email, sđt, password</t>
  </si>
  <si>
    <t>Forgot password flow</t>
  </si>
  <si>
    <t>Quên tài khoản, reset password thông qua email</t>
  </si>
  <si>
    <t>Reset thành công password</t>
  </si>
  <si>
    <t>Gửi đường dẫn reset password về gmail người dùng, reset trong 30 phút</t>
  </si>
  <si>
    <t>Load dashboard page staff</t>
  </si>
  <si>
    <t>1. Login the system with Manager role.
2. Vào được màn hình chính Dashboard</t>
  </si>
  <si>
    <t>1. Login the system with Resident role.
2. Vào được màn hình chính Dashboard</t>
  </si>
  <si>
    <r>
      <rPr>
        <sz val="10"/>
        <rFont val="Tahoma"/>
        <family val="2"/>
      </rPr>
      <t>Thấy được giao diện trang dashboard</t>
    </r>
    <r>
      <rPr>
        <i/>
        <sz val="10"/>
        <color indexed="17"/>
        <rFont val="Tahoma"/>
        <family val="2"/>
      </rPr>
      <t xml:space="preserve">
</t>
    </r>
    <r>
      <rPr>
        <sz val="10"/>
        <rFont val="Tahoma"/>
        <family val="2"/>
      </rPr>
      <t>Thực hiện được được các thao tác di chuyển đến các tab khác</t>
    </r>
  </si>
  <si>
    <t>Thấy được giao diên trang dashboard
Thực hiện được được các thao tác di chuyển đến các tab khác</t>
  </si>
  <si>
    <t>&lt;Workflow Dashboard&gt;</t>
  </si>
  <si>
    <t>&lt; Workflow Authentication &gt;</t>
  </si>
  <si>
    <t>Đăng nhập tài khoản, tạo tài khoản và reset mật khẩu</t>
  </si>
  <si>
    <t>Thấy được dashboard tổng ở cả staff và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</si>
</sst>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4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2009775</xdr:colOff>
      <xdr:row>1</xdr:row>
      <xdr:rowOff>756396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86"/>
          <a:ext cx="2009775" cy="667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8966</xdr:colOff>
      <xdr:row>11</xdr:row>
      <xdr:rowOff>2</xdr:rowOff>
    </xdr:from>
    <xdr:to>
      <xdr:col>4</xdr:col>
      <xdr:colOff>0</xdr:colOff>
      <xdr:row>12</xdr:row>
      <xdr:rowOff>8966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28018-A0E5-F4DC-4DEA-6CE08D215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7060" y="2447367"/>
          <a:ext cx="2366681" cy="130884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2</xdr:rowOff>
    </xdr:from>
    <xdr:to>
      <xdr:col>4</xdr:col>
      <xdr:colOff>0</xdr:colOff>
      <xdr:row>13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AE6ED-D91D-BD20-DB98-4D7F6BD6C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8094" y="3747249"/>
          <a:ext cx="2375647" cy="132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/>
  </sheetViews>
  <sheetFormatPr defaultColWidth="9" defaultRowHeight="13.2"/>
  <cols>
    <col min="1" max="1" width="28.10937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09375" style="99" customWidth="1"/>
    <col min="7" max="256" width="9" style="99"/>
    <col min="257" max="257" width="28.10937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09375" style="99" customWidth="1"/>
    <col min="263" max="512" width="9" style="99"/>
    <col min="513" max="513" width="28.10937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09375" style="99" customWidth="1"/>
    <col min="519" max="768" width="9" style="99"/>
    <col min="769" max="769" width="28.10937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09375" style="99" customWidth="1"/>
    <col min="775" max="1024" width="9" style="99"/>
    <col min="1025" max="1025" width="28.10937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09375" style="99" customWidth="1"/>
    <col min="1031" max="1280" width="9" style="99"/>
    <col min="1281" max="1281" width="28.10937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09375" style="99" customWidth="1"/>
    <col min="1287" max="1536" width="9" style="99"/>
    <col min="1537" max="1537" width="28.10937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09375" style="99" customWidth="1"/>
    <col min="1543" max="1792" width="9" style="99"/>
    <col min="1793" max="1793" width="28.10937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09375" style="99" customWidth="1"/>
    <col min="1799" max="2048" width="9" style="99"/>
    <col min="2049" max="2049" width="28.10937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09375" style="99" customWidth="1"/>
    <col min="2055" max="2304" width="9" style="99"/>
    <col min="2305" max="2305" width="28.10937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09375" style="99" customWidth="1"/>
    <col min="2311" max="2560" width="9" style="99"/>
    <col min="2561" max="2561" width="28.10937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09375" style="99" customWidth="1"/>
    <col min="2567" max="2816" width="9" style="99"/>
    <col min="2817" max="2817" width="28.10937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09375" style="99" customWidth="1"/>
    <col min="2823" max="3072" width="9" style="99"/>
    <col min="3073" max="3073" width="28.10937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09375" style="99" customWidth="1"/>
    <col min="3079" max="3328" width="9" style="99"/>
    <col min="3329" max="3329" width="28.10937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09375" style="99" customWidth="1"/>
    <col min="3335" max="3584" width="9" style="99"/>
    <col min="3585" max="3585" width="28.10937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09375" style="99" customWidth="1"/>
    <col min="3591" max="3840" width="9" style="99"/>
    <col min="3841" max="3841" width="28.10937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09375" style="99" customWidth="1"/>
    <col min="3847" max="4096" width="9" style="99"/>
    <col min="4097" max="4097" width="28.10937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09375" style="99" customWidth="1"/>
    <col min="4103" max="4352" width="9" style="99"/>
    <col min="4353" max="4353" width="28.10937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09375" style="99" customWidth="1"/>
    <col min="4359" max="4608" width="9" style="99"/>
    <col min="4609" max="4609" width="28.10937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09375" style="99" customWidth="1"/>
    <col min="4615" max="4864" width="9" style="99"/>
    <col min="4865" max="4865" width="28.10937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09375" style="99" customWidth="1"/>
    <col min="4871" max="5120" width="9" style="99"/>
    <col min="5121" max="5121" width="28.10937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09375" style="99" customWidth="1"/>
    <col min="5127" max="5376" width="9" style="99"/>
    <col min="5377" max="5377" width="28.10937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09375" style="99" customWidth="1"/>
    <col min="5383" max="5632" width="9" style="99"/>
    <col min="5633" max="5633" width="28.10937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09375" style="99" customWidth="1"/>
    <col min="5639" max="5888" width="9" style="99"/>
    <col min="5889" max="5889" width="28.10937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09375" style="99" customWidth="1"/>
    <col min="5895" max="6144" width="9" style="99"/>
    <col min="6145" max="6145" width="28.10937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09375" style="99" customWidth="1"/>
    <col min="6151" max="6400" width="9" style="99"/>
    <col min="6401" max="6401" width="28.10937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09375" style="99" customWidth="1"/>
    <col min="6407" max="6656" width="9" style="99"/>
    <col min="6657" max="6657" width="28.10937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09375" style="99" customWidth="1"/>
    <col min="6663" max="6912" width="9" style="99"/>
    <col min="6913" max="6913" width="28.10937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09375" style="99" customWidth="1"/>
    <col min="6919" max="7168" width="9" style="99"/>
    <col min="7169" max="7169" width="28.10937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09375" style="99" customWidth="1"/>
    <col min="7175" max="7424" width="9" style="99"/>
    <col min="7425" max="7425" width="28.10937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09375" style="99" customWidth="1"/>
    <col min="7431" max="7680" width="9" style="99"/>
    <col min="7681" max="7681" width="28.10937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09375" style="99" customWidth="1"/>
    <col min="7687" max="7936" width="9" style="99"/>
    <col min="7937" max="7937" width="28.10937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09375" style="99" customWidth="1"/>
    <col min="7943" max="8192" width="9" style="99"/>
    <col min="8193" max="8193" width="28.10937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09375" style="99" customWidth="1"/>
    <col min="8199" max="8448" width="9" style="99"/>
    <col min="8449" max="8449" width="28.10937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09375" style="99" customWidth="1"/>
    <col min="8455" max="8704" width="9" style="99"/>
    <col min="8705" max="8705" width="28.10937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09375" style="99" customWidth="1"/>
    <col min="8711" max="8960" width="9" style="99"/>
    <col min="8961" max="8961" width="28.10937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09375" style="99" customWidth="1"/>
    <col min="8967" max="9216" width="9" style="99"/>
    <col min="9217" max="9217" width="28.10937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09375" style="99" customWidth="1"/>
    <col min="9223" max="9472" width="9" style="99"/>
    <col min="9473" max="9473" width="28.10937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09375" style="99" customWidth="1"/>
    <col min="9479" max="9728" width="9" style="99"/>
    <col min="9729" max="9729" width="28.10937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09375" style="99" customWidth="1"/>
    <col min="9735" max="9984" width="9" style="99"/>
    <col min="9985" max="9985" width="28.10937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09375" style="99" customWidth="1"/>
    <col min="9991" max="10240" width="9" style="99"/>
    <col min="10241" max="10241" width="28.10937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09375" style="99" customWidth="1"/>
    <col min="10247" max="10496" width="9" style="99"/>
    <col min="10497" max="10497" width="28.10937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09375" style="99" customWidth="1"/>
    <col min="10503" max="10752" width="9" style="99"/>
    <col min="10753" max="10753" width="28.10937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09375" style="99" customWidth="1"/>
    <col min="10759" max="11008" width="9" style="99"/>
    <col min="11009" max="11009" width="28.10937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09375" style="99" customWidth="1"/>
    <col min="11015" max="11264" width="9" style="99"/>
    <col min="11265" max="11265" width="28.10937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09375" style="99" customWidth="1"/>
    <col min="11271" max="11520" width="9" style="99"/>
    <col min="11521" max="11521" width="28.10937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09375" style="99" customWidth="1"/>
    <col min="11527" max="11776" width="9" style="99"/>
    <col min="11777" max="11777" width="28.10937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09375" style="99" customWidth="1"/>
    <col min="11783" max="12032" width="9" style="99"/>
    <col min="12033" max="12033" width="28.10937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09375" style="99" customWidth="1"/>
    <col min="12039" max="12288" width="9" style="99"/>
    <col min="12289" max="12289" width="28.10937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09375" style="99" customWidth="1"/>
    <col min="12295" max="12544" width="9" style="99"/>
    <col min="12545" max="12545" width="28.10937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09375" style="99" customWidth="1"/>
    <col min="12551" max="12800" width="9" style="99"/>
    <col min="12801" max="12801" width="28.10937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09375" style="99" customWidth="1"/>
    <col min="12807" max="13056" width="9" style="99"/>
    <col min="13057" max="13057" width="28.10937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09375" style="99" customWidth="1"/>
    <col min="13063" max="13312" width="9" style="99"/>
    <col min="13313" max="13313" width="28.10937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09375" style="99" customWidth="1"/>
    <col min="13319" max="13568" width="9" style="99"/>
    <col min="13569" max="13569" width="28.10937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09375" style="99" customWidth="1"/>
    <col min="13575" max="13824" width="9" style="99"/>
    <col min="13825" max="13825" width="28.10937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09375" style="99" customWidth="1"/>
    <col min="13831" max="14080" width="9" style="99"/>
    <col min="14081" max="14081" width="28.10937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09375" style="99" customWidth="1"/>
    <col min="14087" max="14336" width="9" style="99"/>
    <col min="14337" max="14337" width="28.10937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09375" style="99" customWidth="1"/>
    <col min="14343" max="14592" width="9" style="99"/>
    <col min="14593" max="14593" width="28.10937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09375" style="99" customWidth="1"/>
    <col min="14599" max="14848" width="9" style="99"/>
    <col min="14849" max="14849" width="28.10937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09375" style="99" customWidth="1"/>
    <col min="14855" max="15104" width="9" style="99"/>
    <col min="15105" max="15105" width="28.10937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09375" style="99" customWidth="1"/>
    <col min="15111" max="15360" width="9" style="99"/>
    <col min="15361" max="15361" width="28.10937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09375" style="99" customWidth="1"/>
    <col min="15367" max="15616" width="9" style="99"/>
    <col min="15617" max="15617" width="28.10937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09375" style="99" customWidth="1"/>
    <col min="15623" max="15872" width="9" style="99"/>
    <col min="15873" max="15873" width="28.10937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09375" style="99" customWidth="1"/>
    <col min="15879" max="16128" width="9" style="99"/>
    <col min="16129" max="16129" width="28.10937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09375" style="99" customWidth="1"/>
    <col min="16135" max="16384" width="9" style="99"/>
  </cols>
  <sheetData>
    <row r="2" spans="1:6" s="96" customFormat="1" ht="75.75" customHeight="1">
      <c r="A2" s="95"/>
      <c r="B2" s="131" t="s">
        <v>73</v>
      </c>
      <c r="C2" s="131"/>
      <c r="D2" s="131"/>
      <c r="E2" s="131"/>
      <c r="F2" s="131"/>
    </row>
    <row r="3" spans="1:6">
      <c r="A3" s="97"/>
      <c r="B3" s="98"/>
      <c r="E3" s="100"/>
    </row>
    <row r="4" spans="1:6" ht="14.25" customHeight="1">
      <c r="A4" s="101" t="s">
        <v>0</v>
      </c>
      <c r="B4" s="132" t="s">
        <v>1</v>
      </c>
      <c r="C4" s="132"/>
      <c r="D4" s="132"/>
      <c r="E4" s="101" t="s">
        <v>2</v>
      </c>
      <c r="F4" s="102"/>
    </row>
    <row r="5" spans="1:6" ht="14.25" customHeight="1">
      <c r="A5" s="101" t="s">
        <v>3</v>
      </c>
      <c r="B5" s="132" t="s">
        <v>4</v>
      </c>
      <c r="C5" s="132"/>
      <c r="D5" s="132"/>
      <c r="E5" s="101" t="s">
        <v>7</v>
      </c>
      <c r="F5" s="103" t="s">
        <v>44</v>
      </c>
    </row>
    <row r="6" spans="1:6" ht="15.75" customHeight="1">
      <c r="A6" s="104" t="s">
        <v>6</v>
      </c>
      <c r="B6" s="133" t="str">
        <f>B5&amp;"_"&amp;"XXX"&amp;"_"&amp;"vx.x"</f>
        <v>&lt;Project Code&gt;_XXX_vx.x</v>
      </c>
      <c r="C6" s="134"/>
      <c r="D6" s="135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72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B12" sqref="B12"/>
    </sheetView>
  </sheetViews>
  <sheetFormatPr defaultColWidth="9" defaultRowHeight="13.2"/>
  <cols>
    <col min="1" max="1" width="1.33203125" style="1" customWidth="1"/>
    <col min="2" max="2" width="6.44140625" style="3" customWidth="1"/>
    <col min="3" max="3" width="26.44140625" style="4" customWidth="1"/>
    <col min="4" max="4" width="17.109375" style="4" customWidth="1"/>
    <col min="5" max="5" width="28.109375" style="4" customWidth="1"/>
    <col min="6" max="6" width="30.6640625" style="4" customWidth="1"/>
    <col min="7" max="16384" width="9" style="1"/>
  </cols>
  <sheetData>
    <row r="1" spans="2:6" ht="24.6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8" t="s">
        <v>0</v>
      </c>
      <c r="C3" s="138"/>
      <c r="D3" s="139" t="e">
        <f>#REF!</f>
        <v>#REF!</v>
      </c>
      <c r="E3" s="139"/>
      <c r="F3" s="139"/>
    </row>
    <row r="4" spans="2:6">
      <c r="B4" s="138" t="s">
        <v>3</v>
      </c>
      <c r="C4" s="138"/>
      <c r="D4" s="139" t="e">
        <f>#REF!</f>
        <v>#REF!</v>
      </c>
      <c r="E4" s="139"/>
      <c r="F4" s="139"/>
    </row>
    <row r="5" spans="2:6" s="9" customFormat="1" ht="84.75" customHeight="1">
      <c r="B5" s="136" t="s">
        <v>17</v>
      </c>
      <c r="C5" s="136"/>
      <c r="D5" s="137" t="s">
        <v>18</v>
      </c>
      <c r="E5" s="137"/>
      <c r="F5" s="137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>
      <c r="B9" s="19">
        <v>1</v>
      </c>
      <c r="C9" s="20" t="s">
        <v>24</v>
      </c>
      <c r="D9" s="94" t="s">
        <v>76</v>
      </c>
      <c r="E9" s="21"/>
      <c r="F9" s="22"/>
    </row>
    <row r="10" spans="2:6">
      <c r="B10" s="19">
        <v>2</v>
      </c>
      <c r="C10" s="20" t="s">
        <v>25</v>
      </c>
      <c r="D10" s="94" t="s">
        <v>76</v>
      </c>
      <c r="E10" s="21"/>
      <c r="F10" s="22"/>
    </row>
    <row r="11" spans="2:6">
      <c r="B11" s="19">
        <v>3</v>
      </c>
      <c r="C11" s="20" t="s">
        <v>26</v>
      </c>
      <c r="D11" s="94" t="s">
        <v>76</v>
      </c>
      <c r="E11" s="21"/>
      <c r="F11" s="22"/>
    </row>
    <row r="12" spans="2:6">
      <c r="B12" s="19">
        <v>4</v>
      </c>
      <c r="C12" s="20" t="s">
        <v>27</v>
      </c>
      <c r="D12" s="94" t="s">
        <v>77</v>
      </c>
      <c r="E12" s="21"/>
      <c r="F12" s="22"/>
    </row>
    <row r="13" spans="2:6">
      <c r="B13" s="19">
        <v>5</v>
      </c>
      <c r="C13" s="20" t="s">
        <v>28</v>
      </c>
      <c r="D13" s="94" t="s">
        <v>77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Workflow Name1'!A1" display="Workflow Name1" xr:uid="{00000000-0004-0000-0100-000000000000}"/>
    <hyperlink ref="D12" location="'Workflow Name2'!A1" display="Workflow Name2" xr:uid="{11C2C20C-E8A7-4482-B217-AA07B7D87EFB}"/>
    <hyperlink ref="D10" location="'Workflow Name1'!A1" display="Workflow Name1" xr:uid="{EDD1C32D-1AB2-4CCB-956A-63C5239A926C}"/>
    <hyperlink ref="D11" location="'Workflow Name1'!A1" display="Workflow Name1" xr:uid="{E907D47D-8264-46EE-BA90-CD44F0E2B4F4}"/>
    <hyperlink ref="D13" location="'Workflow Name2'!A1" display="Workflow Name2" xr:uid="{43BFBEB0-3CA7-4548-BB74-59B7A765209D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H13" sqref="H13"/>
    </sheetView>
  </sheetViews>
  <sheetFormatPr defaultColWidth="9" defaultRowHeight="13.2"/>
  <cols>
    <col min="1" max="1" width="4.4414062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44140625" style="1" customWidth="1"/>
    <col min="9" max="9" width="33.109375" style="1" customWidth="1"/>
    <col min="10" max="16384" width="9" style="1"/>
  </cols>
  <sheetData>
    <row r="1" spans="1:8" ht="25.5" customHeight="1">
      <c r="B1" s="142" t="s">
        <v>71</v>
      </c>
      <c r="C1" s="142"/>
      <c r="D1" s="142"/>
      <c r="E1" s="142"/>
      <c r="F1" s="142"/>
      <c r="G1" s="142"/>
      <c r="H1" s="142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9" t="s">
        <v>1</v>
      </c>
      <c r="D3" s="139"/>
      <c r="E3" s="140" t="s">
        <v>2</v>
      </c>
      <c r="F3" s="140"/>
      <c r="G3" s="50"/>
      <c r="H3" s="51"/>
    </row>
    <row r="4" spans="1:8" ht="12" customHeight="1">
      <c r="B4" s="2" t="s">
        <v>3</v>
      </c>
      <c r="C4" s="139" t="s">
        <v>4</v>
      </c>
      <c r="D4" s="139"/>
      <c r="E4" s="140" t="s">
        <v>5</v>
      </c>
      <c r="F4" s="140"/>
      <c r="G4" s="50"/>
      <c r="H4" s="51"/>
    </row>
    <row r="5" spans="1:8" ht="12" customHeight="1">
      <c r="B5" s="52" t="s">
        <v>6</v>
      </c>
      <c r="C5" s="139" t="str">
        <f>C4&amp;"_"&amp;"Test Report"&amp;"_"&amp;"vx.x"</f>
        <v>&lt;Project Code&gt;_Test Report_vx.x</v>
      </c>
      <c r="D5" s="139"/>
      <c r="E5" s="140" t="s">
        <v>7</v>
      </c>
      <c r="F5" s="140"/>
      <c r="G5" s="50"/>
      <c r="H5" s="53" t="s">
        <v>44</v>
      </c>
    </row>
    <row r="6" spans="1:8" ht="21.75" customHeight="1">
      <c r="A6" s="47"/>
      <c r="B6" s="52" t="s">
        <v>45</v>
      </c>
      <c r="C6" s="141" t="s">
        <v>46</v>
      </c>
      <c r="D6" s="141"/>
      <c r="E6" s="141"/>
      <c r="F6" s="141"/>
      <c r="G6" s="141"/>
      <c r="H6" s="141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47</v>
      </c>
      <c r="D10" s="59" t="s">
        <v>56</v>
      </c>
      <c r="E10" s="58" t="s">
        <v>57</v>
      </c>
      <c r="F10" s="58" t="s">
        <v>55</v>
      </c>
      <c r="G10" s="60" t="s">
        <v>32</v>
      </c>
      <c r="H10" s="61" t="s">
        <v>48</v>
      </c>
    </row>
    <row r="11" spans="1:8">
      <c r="A11" s="56"/>
      <c r="B11" s="62">
        <v>1</v>
      </c>
      <c r="C11" s="63" t="str">
        <f>'Workflow Authentication '!B2</f>
        <v>&lt; Workflow Authentication &gt;</v>
      </c>
      <c r="D11" s="64">
        <f>'Workflow Authentication '!B6</f>
        <v>7</v>
      </c>
      <c r="E11" s="64">
        <f>'Workflow Authentication '!C6</f>
        <v>0</v>
      </c>
      <c r="F11" s="64">
        <f>'Workflow Authentication '!D6</f>
        <v>0</v>
      </c>
      <c r="G11" s="64">
        <f>'Workflow Authentication '!E6</f>
        <v>0</v>
      </c>
      <c r="H11" s="66">
        <f>'Workflow Authentication '!B4</f>
        <v>10</v>
      </c>
    </row>
    <row r="12" spans="1:8">
      <c r="A12" s="56"/>
      <c r="B12" s="62">
        <v>2</v>
      </c>
      <c r="C12" s="63" t="str">
        <f>'Workflow Dashboard'!B2</f>
        <v>&lt;Workflow Dashboard&gt;</v>
      </c>
      <c r="D12" s="64">
        <f>'Workflow Dashboard'!B6</f>
        <v>2</v>
      </c>
      <c r="E12" s="64">
        <f>'Workflow Dashboard'!C6</f>
        <v>0</v>
      </c>
      <c r="F12" s="64">
        <f>'Workflow Dashboard'!D6</f>
        <v>0</v>
      </c>
      <c r="G12" s="64">
        <f>'Workflow Request'!E6</f>
        <v>0</v>
      </c>
      <c r="H12" s="64">
        <f>'Workflow Request'!B4</f>
        <v>6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49</v>
      </c>
      <c r="D14" s="69">
        <f>SUM(D9:D13)</f>
        <v>9</v>
      </c>
      <c r="E14" s="69">
        <f>SUM(E9:E13)</f>
        <v>0</v>
      </c>
      <c r="F14" s="69">
        <f>SUM(F9:F13)</f>
        <v>0</v>
      </c>
      <c r="G14" s="69">
        <f>SUM(G9:G13)</f>
        <v>0</v>
      </c>
      <c r="H14" s="70">
        <f>SUM(H9:H13)</f>
        <v>16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50</v>
      </c>
      <c r="E16" s="75">
        <f>(D14+E14)*100/(H14-G14)</f>
        <v>56.25</v>
      </c>
      <c r="F16" s="1" t="s">
        <v>51</v>
      </c>
      <c r="H16" s="33"/>
    </row>
    <row r="17" spans="3:8">
      <c r="C17" s="74" t="s">
        <v>52</v>
      </c>
      <c r="E17" s="75">
        <f>D14*100/(H14-G14)</f>
        <v>56.25</v>
      </c>
      <c r="F17" s="1" t="s">
        <v>51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21"/>
  <sheetViews>
    <sheetView zoomScale="85" zoomScaleNormal="85" workbookViewId="0">
      <pane ySplit="10" topLeftCell="A11" activePane="bottomLeft" state="frozen"/>
      <selection pane="bottomLeft" activeCell="H10" sqref="H10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6384" width="9" style="1"/>
  </cols>
  <sheetData>
    <row r="1" spans="1:18" ht="13.8" thickBot="1"/>
    <row r="2" spans="1:18" s="30" customFormat="1" ht="15" customHeight="1">
      <c r="A2" s="92" t="s">
        <v>74</v>
      </c>
      <c r="B2" s="127" t="s">
        <v>117</v>
      </c>
      <c r="C2" s="127"/>
      <c r="D2" s="127"/>
      <c r="E2" s="128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56</v>
      </c>
    </row>
    <row r="3" spans="1:18" s="30" customFormat="1" ht="26.4">
      <c r="A3" s="93" t="s">
        <v>29</v>
      </c>
      <c r="B3" s="129" t="s">
        <v>118</v>
      </c>
      <c r="C3" s="129"/>
      <c r="D3" s="129"/>
      <c r="E3" s="130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57</v>
      </c>
    </row>
    <row r="4" spans="1:18" s="30" customFormat="1" ht="18" customHeight="1">
      <c r="A4" s="93" t="s">
        <v>70</v>
      </c>
      <c r="B4" s="129">
        <f>COUNTA(A12:A999)</f>
        <v>10</v>
      </c>
      <c r="C4" s="129"/>
      <c r="D4" s="129"/>
      <c r="E4" s="130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58</v>
      </c>
      <c r="B5" s="84" t="s">
        <v>56</v>
      </c>
      <c r="C5" s="84" t="s">
        <v>57</v>
      </c>
      <c r="D5" s="84" t="s">
        <v>55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59</v>
      </c>
      <c r="B6" s="85">
        <f>COUNTIF($F10:$F997,B5)</f>
        <v>7</v>
      </c>
      <c r="C6" s="85">
        <f>COUNTIF($F10:$F997,C5)</f>
        <v>0</v>
      </c>
      <c r="D6" s="85">
        <f>COUNTIF($F10:$F997,D5)</f>
        <v>0</v>
      </c>
      <c r="E6" s="91">
        <f>COUNTIF($F10:$F997,E5)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61</v>
      </c>
      <c r="B7" s="85">
        <f>COUNTIF($F10:$F997,B5)</f>
        <v>7</v>
      </c>
      <c r="C7" s="85">
        <f>COUNTIF($F10:$F997,C5)</f>
        <v>0</v>
      </c>
      <c r="D7" s="85">
        <f>COUNTIF($F10:$F997,D5)</f>
        <v>0</v>
      </c>
      <c r="E7" s="91">
        <f>COUNTIF($F10:$F997,E5)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62</v>
      </c>
      <c r="B8" s="89">
        <f>COUNTIF($F10:$F997,B5)</f>
        <v>7</v>
      </c>
      <c r="C8" s="89">
        <f>COUNTIF($F10:$F997,C5)</f>
        <v>0</v>
      </c>
      <c r="D8" s="89">
        <f>COUNTIF($F10:$F997,D5)</f>
        <v>0</v>
      </c>
      <c r="E8" s="90">
        <f>COUNTIF($F10:$F997,E5)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69</v>
      </c>
      <c r="B10" s="83" t="s">
        <v>33</v>
      </c>
      <c r="C10" s="83" t="s">
        <v>54</v>
      </c>
      <c r="D10" s="83" t="s">
        <v>53</v>
      </c>
      <c r="E10" s="83" t="s">
        <v>60</v>
      </c>
      <c r="F10" s="83" t="s">
        <v>59</v>
      </c>
      <c r="G10" s="83" t="s">
        <v>34</v>
      </c>
      <c r="H10" s="83" t="s">
        <v>31</v>
      </c>
      <c r="I10" s="83" t="s">
        <v>61</v>
      </c>
      <c r="J10" s="83" t="s">
        <v>34</v>
      </c>
      <c r="K10" s="83" t="s">
        <v>31</v>
      </c>
      <c r="L10" s="83" t="s">
        <v>62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78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30" customHeight="1" outlineLevel="1">
      <c r="A12" s="39" t="s">
        <v>63</v>
      </c>
      <c r="B12" s="39" t="s">
        <v>85</v>
      </c>
      <c r="C12" s="39" t="s">
        <v>95</v>
      </c>
      <c r="D12" s="143" t="s">
        <v>84</v>
      </c>
      <c r="E12" s="41" t="s">
        <v>83</v>
      </c>
      <c r="F12" s="39" t="s">
        <v>56</v>
      </c>
      <c r="G12" s="39" t="s">
        <v>87</v>
      </c>
      <c r="H12" s="39" t="s">
        <v>89</v>
      </c>
      <c r="I12" s="39" t="s">
        <v>56</v>
      </c>
      <c r="J12" s="39" t="s">
        <v>87</v>
      </c>
      <c r="K12" s="39" t="s">
        <v>89</v>
      </c>
      <c r="L12" s="39" t="s">
        <v>56</v>
      </c>
      <c r="M12" s="39" t="s">
        <v>88</v>
      </c>
      <c r="N12" s="39" t="s">
        <v>89</v>
      </c>
      <c r="O12" s="42"/>
      <c r="Q12" s="43"/>
    </row>
    <row r="13" spans="1:18" ht="26.4" outlineLevel="1">
      <c r="A13" s="39" t="s">
        <v>64</v>
      </c>
      <c r="B13" s="39" t="s">
        <v>85</v>
      </c>
      <c r="C13" s="39" t="s">
        <v>96</v>
      </c>
      <c r="D13" s="143" t="s">
        <v>84</v>
      </c>
      <c r="E13" s="41" t="s">
        <v>86</v>
      </c>
      <c r="F13" s="39" t="s">
        <v>56</v>
      </c>
      <c r="G13" s="39" t="s">
        <v>87</v>
      </c>
      <c r="H13" s="39" t="s">
        <v>89</v>
      </c>
      <c r="I13" s="39" t="s">
        <v>56</v>
      </c>
      <c r="J13" s="39" t="s">
        <v>87</v>
      </c>
      <c r="K13" s="39" t="s">
        <v>89</v>
      </c>
      <c r="L13" s="39" t="s">
        <v>56</v>
      </c>
      <c r="M13" s="39" t="s">
        <v>88</v>
      </c>
      <c r="N13" s="39" t="s">
        <v>89</v>
      </c>
      <c r="O13" s="42"/>
      <c r="Q13" s="43"/>
    </row>
    <row r="14" spans="1:18" s="30" customFormat="1" ht="15.75" customHeight="1">
      <c r="A14" s="79" t="s">
        <v>79</v>
      </c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Q14" s="38"/>
    </row>
    <row r="15" spans="1:18" ht="39.6" outlineLevel="1">
      <c r="A15" s="39" t="s">
        <v>65</v>
      </c>
      <c r="B15" s="39" t="s">
        <v>90</v>
      </c>
      <c r="C15" s="39" t="s">
        <v>91</v>
      </c>
      <c r="D15" s="39" t="s">
        <v>92</v>
      </c>
      <c r="E15" s="41" t="s">
        <v>93</v>
      </c>
      <c r="F15" s="39" t="s">
        <v>56</v>
      </c>
      <c r="G15" s="39" t="s">
        <v>87</v>
      </c>
      <c r="H15" s="39" t="s">
        <v>89</v>
      </c>
      <c r="I15" s="39" t="s">
        <v>56</v>
      </c>
      <c r="J15" s="39" t="s">
        <v>87</v>
      </c>
      <c r="K15" s="39" t="s">
        <v>89</v>
      </c>
      <c r="L15" s="39" t="s">
        <v>56</v>
      </c>
      <c r="M15" s="39" t="s">
        <v>88</v>
      </c>
      <c r="N15" s="39" t="s">
        <v>89</v>
      </c>
      <c r="O15" s="42"/>
      <c r="Q15" s="43"/>
    </row>
    <row r="16" spans="1:18" ht="39.6" outlineLevel="1">
      <c r="A16" s="39" t="s">
        <v>66</v>
      </c>
      <c r="B16" s="39" t="s">
        <v>94</v>
      </c>
      <c r="C16" s="39" t="s">
        <v>97</v>
      </c>
      <c r="D16" s="39" t="s">
        <v>92</v>
      </c>
      <c r="E16" s="41" t="s">
        <v>93</v>
      </c>
      <c r="F16" s="39" t="s">
        <v>56</v>
      </c>
      <c r="G16" s="39" t="s">
        <v>87</v>
      </c>
      <c r="H16" s="39" t="s">
        <v>89</v>
      </c>
      <c r="I16" s="39" t="s">
        <v>56</v>
      </c>
      <c r="J16" s="39" t="s">
        <v>87</v>
      </c>
      <c r="K16" s="39" t="s">
        <v>89</v>
      </c>
      <c r="L16" s="39" t="s">
        <v>56</v>
      </c>
      <c r="M16" s="39" t="s">
        <v>88</v>
      </c>
      <c r="N16" s="39" t="s">
        <v>89</v>
      </c>
      <c r="O16" s="46"/>
    </row>
    <row r="17" spans="1:17" s="30" customFormat="1" ht="15.75" customHeight="1">
      <c r="A17" s="79" t="s">
        <v>80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Q17" s="38"/>
    </row>
    <row r="18" spans="1:17" ht="56.4" customHeight="1" outlineLevel="1">
      <c r="A18" s="39" t="s">
        <v>67</v>
      </c>
      <c r="B18" s="39" t="s">
        <v>99</v>
      </c>
      <c r="C18" s="39" t="s">
        <v>100</v>
      </c>
      <c r="D18" s="39" t="s">
        <v>101</v>
      </c>
      <c r="E18" s="39" t="s">
        <v>106</v>
      </c>
      <c r="F18" s="39" t="s">
        <v>56</v>
      </c>
      <c r="G18" s="39" t="s">
        <v>87</v>
      </c>
      <c r="H18" s="39" t="s">
        <v>89</v>
      </c>
      <c r="I18" s="39" t="s">
        <v>56</v>
      </c>
      <c r="J18" s="39" t="s">
        <v>87</v>
      </c>
      <c r="K18" s="39" t="s">
        <v>89</v>
      </c>
      <c r="L18" s="39" t="s">
        <v>56</v>
      </c>
      <c r="M18" s="39" t="s">
        <v>88</v>
      </c>
      <c r="N18" s="39" t="s">
        <v>89</v>
      </c>
      <c r="O18" s="42"/>
      <c r="Q18" s="43"/>
    </row>
    <row r="19" spans="1:17" ht="42.6" customHeight="1" outlineLevel="1">
      <c r="A19" s="39" t="s">
        <v>68</v>
      </c>
      <c r="B19" s="39" t="s">
        <v>102</v>
      </c>
      <c r="C19" s="39" t="s">
        <v>105</v>
      </c>
      <c r="D19" s="39" t="s">
        <v>104</v>
      </c>
      <c r="E19" s="45" t="s">
        <v>103</v>
      </c>
      <c r="F19" s="39" t="s">
        <v>56</v>
      </c>
      <c r="G19" s="39" t="s">
        <v>87</v>
      </c>
      <c r="H19" s="39" t="s">
        <v>89</v>
      </c>
      <c r="I19" s="39" t="s">
        <v>56</v>
      </c>
      <c r="J19" s="39" t="s">
        <v>87</v>
      </c>
      <c r="K19" s="39" t="s">
        <v>89</v>
      </c>
      <c r="L19" s="39" t="s">
        <v>56</v>
      </c>
      <c r="M19" s="39" t="s">
        <v>88</v>
      </c>
      <c r="N19" s="39" t="s">
        <v>89</v>
      </c>
      <c r="O19" s="42"/>
      <c r="Q19" s="43"/>
    </row>
    <row r="20" spans="1:17" s="30" customFormat="1" ht="15.75" customHeight="1">
      <c r="A20" s="79" t="s">
        <v>81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7"/>
      <c r="Q20" s="38"/>
    </row>
    <row r="21" spans="1:17" ht="46.2" customHeight="1" outlineLevel="1">
      <c r="A21" s="39" t="s">
        <v>98</v>
      </c>
      <c r="B21" s="39" t="s">
        <v>107</v>
      </c>
      <c r="C21" s="39" t="s">
        <v>108</v>
      </c>
      <c r="D21" s="45" t="s">
        <v>109</v>
      </c>
      <c r="E21" s="45" t="s">
        <v>110</v>
      </c>
      <c r="F21" s="39" t="s">
        <v>56</v>
      </c>
      <c r="G21" s="39" t="s">
        <v>87</v>
      </c>
      <c r="H21" s="39" t="s">
        <v>89</v>
      </c>
      <c r="I21" s="39" t="s">
        <v>56</v>
      </c>
      <c r="J21" s="39" t="s">
        <v>87</v>
      </c>
      <c r="K21" s="39" t="s">
        <v>89</v>
      </c>
      <c r="L21" s="39" t="s">
        <v>56</v>
      </c>
      <c r="M21" s="39" t="s">
        <v>88</v>
      </c>
      <c r="N21" s="39" t="s">
        <v>89</v>
      </c>
      <c r="O21" s="42"/>
      <c r="Q21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M21:M146 J2:J3 J9 G21:G146 M2:M3 M9 I12:I13 L15:L16 I15:I16 F15:F16 F18:F19 F12:F13 L18:L19 L12:L13 I18:I19 M19 J19 G19 J21:J146 F21 L21 I21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62A1-81CF-434B-A017-AA74BE9D218C}">
  <sheetPr>
    <outlinePr summaryBelow="0" summaryRight="0"/>
  </sheetPr>
  <dimension ref="A1:R13"/>
  <sheetViews>
    <sheetView zoomScale="85" zoomScaleNormal="85" workbookViewId="0">
      <pane ySplit="10" topLeftCell="A11" activePane="bottomLeft" state="frozen"/>
      <selection pane="bottomLeft" activeCell="B3" sqref="B3:E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6384" width="9" style="1"/>
  </cols>
  <sheetData>
    <row r="1" spans="1:18" ht="13.8" thickBot="1"/>
    <row r="2" spans="1:18" s="30" customFormat="1" ht="15" customHeight="1">
      <c r="A2" s="92" t="s">
        <v>74</v>
      </c>
      <c r="B2" s="127" t="s">
        <v>116</v>
      </c>
      <c r="C2" s="127"/>
      <c r="D2" s="127"/>
      <c r="E2" s="128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56</v>
      </c>
    </row>
    <row r="3" spans="1:18" s="30" customFormat="1" ht="26.4">
      <c r="A3" s="93" t="s">
        <v>29</v>
      </c>
      <c r="B3" s="129" t="s">
        <v>119</v>
      </c>
      <c r="C3" s="129"/>
      <c r="D3" s="129"/>
      <c r="E3" s="130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57</v>
      </c>
    </row>
    <row r="4" spans="1:18" s="30" customFormat="1" ht="18" customHeight="1">
      <c r="A4" s="93" t="s">
        <v>70</v>
      </c>
      <c r="B4" s="129">
        <f>COUNTA(A12:A994)</f>
        <v>2</v>
      </c>
      <c r="C4" s="129"/>
      <c r="D4" s="129"/>
      <c r="E4" s="130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58</v>
      </c>
      <c r="B5" s="84" t="s">
        <v>56</v>
      </c>
      <c r="C5" s="84" t="s">
        <v>57</v>
      </c>
      <c r="D5" s="84" t="s">
        <v>55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59</v>
      </c>
      <c r="B6" s="85">
        <f>COUNTIF($F10:$F992,B5)</f>
        <v>2</v>
      </c>
      <c r="C6" s="85">
        <f>COUNTIF($F10:$F992,C5)</f>
        <v>0</v>
      </c>
      <c r="D6" s="85">
        <f>COUNTIF($F10:$F992,D5)</f>
        <v>0</v>
      </c>
      <c r="E6" s="91">
        <f>COUNTIF($F10:$F992,E5)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61</v>
      </c>
      <c r="B7" s="85">
        <f>COUNTIF($F10:$F992,B5)</f>
        <v>2</v>
      </c>
      <c r="C7" s="85">
        <f>COUNTIF($F10:$F992,C5)</f>
        <v>0</v>
      </c>
      <c r="D7" s="85">
        <f>COUNTIF($F10:$F992,D5)</f>
        <v>0</v>
      </c>
      <c r="E7" s="91">
        <f>COUNTIF($F10:$F992,E5)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62</v>
      </c>
      <c r="B8" s="89">
        <f>COUNTIF($F10:$F992,B5)</f>
        <v>2</v>
      </c>
      <c r="C8" s="89">
        <f>COUNTIF($F10:$F992,C5)</f>
        <v>0</v>
      </c>
      <c r="D8" s="89">
        <f>COUNTIF($F10:$F992,D5)</f>
        <v>0</v>
      </c>
      <c r="E8" s="90">
        <f>COUNTIF($F10:$F992,E5)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69</v>
      </c>
      <c r="B10" s="83" t="s">
        <v>33</v>
      </c>
      <c r="C10" s="83" t="s">
        <v>54</v>
      </c>
      <c r="D10" s="83" t="s">
        <v>53</v>
      </c>
      <c r="E10" s="83" t="s">
        <v>60</v>
      </c>
      <c r="F10" s="83" t="s">
        <v>59</v>
      </c>
      <c r="G10" s="83" t="s">
        <v>34</v>
      </c>
      <c r="H10" s="83" t="s">
        <v>31</v>
      </c>
      <c r="I10" s="83" t="s">
        <v>61</v>
      </c>
      <c r="J10" s="83" t="s">
        <v>34</v>
      </c>
      <c r="K10" s="83" t="s">
        <v>31</v>
      </c>
      <c r="L10" s="83" t="s">
        <v>62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81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02" customHeight="1" outlineLevel="1">
      <c r="A12" s="39" t="s">
        <v>63</v>
      </c>
      <c r="B12" s="39" t="s">
        <v>111</v>
      </c>
      <c r="C12" s="39" t="s">
        <v>112</v>
      </c>
      <c r="D12" s="143"/>
      <c r="E12" s="41" t="s">
        <v>114</v>
      </c>
      <c r="F12" s="39" t="s">
        <v>56</v>
      </c>
      <c r="G12" s="39" t="s">
        <v>87</v>
      </c>
      <c r="H12" s="39" t="s">
        <v>89</v>
      </c>
      <c r="I12" s="39" t="s">
        <v>56</v>
      </c>
      <c r="J12" s="39" t="s">
        <v>87</v>
      </c>
      <c r="K12" s="39" t="s">
        <v>89</v>
      </c>
      <c r="L12" s="39" t="s">
        <v>56</v>
      </c>
      <c r="M12" s="39" t="s">
        <v>88</v>
      </c>
      <c r="N12" s="39" t="s">
        <v>89</v>
      </c>
      <c r="O12" s="42"/>
      <c r="Q12" s="43"/>
    </row>
    <row r="13" spans="1:18" ht="104.4" customHeight="1" outlineLevel="1">
      <c r="A13" s="39" t="s">
        <v>64</v>
      </c>
      <c r="B13" s="39" t="s">
        <v>111</v>
      </c>
      <c r="C13" s="39" t="s">
        <v>113</v>
      </c>
      <c r="D13" s="45"/>
      <c r="E13" s="45" t="s">
        <v>115</v>
      </c>
      <c r="F13" s="39" t="s">
        <v>56</v>
      </c>
      <c r="G13" s="39" t="s">
        <v>87</v>
      </c>
      <c r="H13" s="39" t="s">
        <v>89</v>
      </c>
      <c r="I13" s="39" t="s">
        <v>56</v>
      </c>
      <c r="J13" s="39" t="s">
        <v>87</v>
      </c>
      <c r="K13" s="39" t="s">
        <v>89</v>
      </c>
      <c r="L13" s="39" t="s">
        <v>56</v>
      </c>
      <c r="M13" s="39" t="s">
        <v>88</v>
      </c>
      <c r="N13" s="39" t="s">
        <v>89</v>
      </c>
      <c r="O13" s="42"/>
      <c r="Q13" s="43"/>
    </row>
  </sheetData>
  <mergeCells count="3">
    <mergeCell ref="B2:E2"/>
    <mergeCell ref="B3:E3"/>
    <mergeCell ref="B4:E4"/>
  </mergeCells>
  <dataValidations count="2">
    <dataValidation type="list" allowBlank="1" showErrorMessage="1" sqref="G2:G3 G9 G14:G141 J2:J3 J9 J14:J141 M2:M3 M9 M14:M141 L12:L13 F12:F13 I12:I13" xr:uid="{A02D1DF7-9EBE-4B87-82E4-0DF48E8CC3D4}">
      <formula1>$R$2:$R$5</formula1>
      <formula2>0</formula2>
    </dataValidation>
    <dataValidation allowBlank="1" showErrorMessage="1" sqref="F10 I10 L10" xr:uid="{8990172D-5994-44CB-BFCF-5A374090300F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A6EF-B1F2-405A-8559-97704F4319BE}">
  <sheetPr>
    <outlinePr summaryBelow="0" summaryRight="0"/>
  </sheetPr>
  <dimension ref="A1:R19"/>
  <sheetViews>
    <sheetView zoomScale="85" zoomScaleNormal="85" workbookViewId="0">
      <pane ySplit="10" topLeftCell="A12" activePane="bottomLeft" state="frozen"/>
      <selection pane="bottomLeft" activeCell="B16" sqref="B16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6384" width="9" style="1"/>
  </cols>
  <sheetData>
    <row r="1" spans="1:18" ht="13.8" thickBot="1"/>
    <row r="2" spans="1:18" s="30" customFormat="1" ht="15" customHeight="1">
      <c r="A2" s="92" t="s">
        <v>74</v>
      </c>
      <c r="B2" s="127" t="s">
        <v>75</v>
      </c>
      <c r="C2" s="127"/>
      <c r="D2" s="127"/>
      <c r="E2" s="128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56</v>
      </c>
    </row>
    <row r="3" spans="1:18" s="30" customFormat="1" ht="26.4">
      <c r="A3" s="93" t="s">
        <v>29</v>
      </c>
      <c r="B3" s="129" t="s">
        <v>30</v>
      </c>
      <c r="C3" s="129"/>
      <c r="D3" s="129"/>
      <c r="E3" s="130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57</v>
      </c>
    </row>
    <row r="4" spans="1:18" s="30" customFormat="1" ht="18" customHeight="1">
      <c r="A4" s="93" t="s">
        <v>70</v>
      </c>
      <c r="B4" s="129">
        <f>COUNTA(A12:A998)</f>
        <v>6</v>
      </c>
      <c r="C4" s="129"/>
      <c r="D4" s="129"/>
      <c r="E4" s="130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58</v>
      </c>
      <c r="B5" s="84" t="s">
        <v>56</v>
      </c>
      <c r="C5" s="84" t="s">
        <v>57</v>
      </c>
      <c r="D5" s="84" t="s">
        <v>55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59</v>
      </c>
      <c r="B6" s="85">
        <f>COUNTIF($F10:$F996,B5)</f>
        <v>2</v>
      </c>
      <c r="C6" s="85">
        <f>COUNTIF($F10:$F996,C5)</f>
        <v>0</v>
      </c>
      <c r="D6" s="85">
        <f>COUNTIF($F10:$F996,D5)</f>
        <v>3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61</v>
      </c>
      <c r="B7" s="85">
        <f>COUNTIF($F10:$F996,B5)</f>
        <v>2</v>
      </c>
      <c r="C7" s="85">
        <f>COUNTIF($F10:$F996,C5)</f>
        <v>0</v>
      </c>
      <c r="D7" s="85">
        <f>COUNTIF($F10:$F996,D5)</f>
        <v>3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62</v>
      </c>
      <c r="B8" s="89">
        <f>COUNTIF($F10:$F996,B5)</f>
        <v>2</v>
      </c>
      <c r="C8" s="89">
        <f>COUNTIF($F10:$F996,C5)</f>
        <v>0</v>
      </c>
      <c r="D8" s="89">
        <f>COUNTIF($F10:$F996,D5)</f>
        <v>3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69</v>
      </c>
      <c r="B10" s="83" t="s">
        <v>33</v>
      </c>
      <c r="C10" s="83" t="s">
        <v>54</v>
      </c>
      <c r="D10" s="83" t="s">
        <v>53</v>
      </c>
      <c r="E10" s="83" t="s">
        <v>60</v>
      </c>
      <c r="F10" s="83" t="s">
        <v>59</v>
      </c>
      <c r="G10" s="83" t="s">
        <v>34</v>
      </c>
      <c r="H10" s="83" t="s">
        <v>31</v>
      </c>
      <c r="I10" s="83" t="s">
        <v>61</v>
      </c>
      <c r="J10" s="83" t="s">
        <v>34</v>
      </c>
      <c r="K10" s="83" t="s">
        <v>31</v>
      </c>
      <c r="L10" s="83" t="s">
        <v>62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81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02" customHeight="1" outlineLevel="1">
      <c r="A12" s="39" t="s">
        <v>63</v>
      </c>
      <c r="B12" s="39" t="s">
        <v>111</v>
      </c>
      <c r="C12" s="39" t="s">
        <v>112</v>
      </c>
      <c r="D12" s="143"/>
      <c r="E12" s="41" t="s">
        <v>114</v>
      </c>
      <c r="F12" s="39" t="s">
        <v>56</v>
      </c>
      <c r="G12" s="39" t="s">
        <v>87</v>
      </c>
      <c r="H12" s="39" t="s">
        <v>89</v>
      </c>
      <c r="I12" s="39" t="s">
        <v>56</v>
      </c>
      <c r="J12" s="39" t="s">
        <v>87</v>
      </c>
      <c r="K12" s="39" t="s">
        <v>89</v>
      </c>
      <c r="L12" s="39" t="s">
        <v>56</v>
      </c>
      <c r="M12" s="39" t="s">
        <v>88</v>
      </c>
      <c r="N12" s="39" t="s">
        <v>89</v>
      </c>
      <c r="O12" s="42"/>
      <c r="Q12" s="43"/>
    </row>
    <row r="13" spans="1:18" ht="104.4" customHeight="1" outlineLevel="1">
      <c r="A13" s="39" t="s">
        <v>64</v>
      </c>
      <c r="B13" s="39" t="s">
        <v>111</v>
      </c>
      <c r="C13" s="39" t="s">
        <v>113</v>
      </c>
      <c r="D13" s="45"/>
      <c r="E13" s="45" t="s">
        <v>115</v>
      </c>
      <c r="F13" s="39" t="s">
        <v>56</v>
      </c>
      <c r="G13" s="39" t="s">
        <v>87</v>
      </c>
      <c r="H13" s="39" t="s">
        <v>89</v>
      </c>
      <c r="I13" s="39" t="s">
        <v>56</v>
      </c>
      <c r="J13" s="39" t="s">
        <v>87</v>
      </c>
      <c r="K13" s="39" t="s">
        <v>89</v>
      </c>
      <c r="L13" s="39" t="s">
        <v>56</v>
      </c>
      <c r="M13" s="39" t="s">
        <v>88</v>
      </c>
      <c r="N13" s="39" t="s">
        <v>89</v>
      </c>
      <c r="O13" s="42"/>
      <c r="Q13" s="43"/>
    </row>
    <row r="14" spans="1:18" outlineLevel="1">
      <c r="A14" s="39" t="s">
        <v>65</v>
      </c>
      <c r="B14" s="39" t="s">
        <v>41</v>
      </c>
      <c r="C14" s="39"/>
      <c r="D14" s="45"/>
      <c r="E14" s="45"/>
      <c r="F14" s="39" t="s">
        <v>55</v>
      </c>
      <c r="G14" s="39"/>
      <c r="H14" s="39"/>
      <c r="I14" s="39" t="s">
        <v>55</v>
      </c>
      <c r="J14" s="39"/>
      <c r="K14" s="39"/>
      <c r="L14" s="39" t="s">
        <v>55</v>
      </c>
      <c r="M14" s="39"/>
      <c r="N14" s="39"/>
      <c r="O14" s="42"/>
      <c r="Q14" s="43"/>
    </row>
    <row r="17" spans="1:17" s="30" customFormat="1" ht="15.75" customHeight="1">
      <c r="A17" s="79" t="s">
        <v>82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Q17" s="38"/>
    </row>
    <row r="18" spans="1:17" outlineLevel="1">
      <c r="A18" s="39" t="s">
        <v>66</v>
      </c>
      <c r="B18" s="39" t="s">
        <v>42</v>
      </c>
      <c r="C18" s="39"/>
      <c r="D18" s="39"/>
      <c r="E18" s="39"/>
      <c r="F18" s="39" t="s">
        <v>55</v>
      </c>
      <c r="G18" s="39"/>
      <c r="H18" s="39"/>
      <c r="I18" s="39" t="s">
        <v>55</v>
      </c>
      <c r="J18" s="39"/>
      <c r="K18" s="39"/>
      <c r="L18" s="39" t="s">
        <v>55</v>
      </c>
      <c r="M18" s="39"/>
      <c r="N18" s="39"/>
      <c r="O18" s="42"/>
      <c r="Q18" s="43"/>
    </row>
    <row r="19" spans="1:17" outlineLevel="1">
      <c r="A19" s="39" t="s">
        <v>67</v>
      </c>
      <c r="B19" s="39" t="s">
        <v>43</v>
      </c>
      <c r="C19" s="39"/>
      <c r="D19" s="39"/>
      <c r="E19" s="39"/>
      <c r="F19" s="39" t="s">
        <v>55</v>
      </c>
      <c r="G19" s="46"/>
      <c r="H19" s="46"/>
      <c r="I19" s="39" t="s">
        <v>55</v>
      </c>
      <c r="J19" s="46"/>
      <c r="K19" s="46"/>
      <c r="L19" s="39" t="s">
        <v>55</v>
      </c>
      <c r="M19" s="46"/>
      <c r="N19" s="46"/>
      <c r="O19" s="46"/>
    </row>
  </sheetData>
  <mergeCells count="3">
    <mergeCell ref="B2:E2"/>
    <mergeCell ref="B3:E3"/>
    <mergeCell ref="B4:E4"/>
  </mergeCells>
  <dataValidations count="2">
    <dataValidation allowBlank="1" showErrorMessage="1" sqref="F10 I10 L10" xr:uid="{A1164566-DBF0-4A3E-8A82-2E3E2A596E36}"/>
    <dataValidation type="list" allowBlank="1" showErrorMessage="1" sqref="G2:G3 G9 G20:G145 J2:J3 J9 J20:J145 M2:M3 M9 M20:M145 I17:I19 I12:I14 L17:L19 L12:L14 F17:F19 F12:F14" xr:uid="{49B25915-A8B3-40E2-84A2-347319F0D82D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3A8A-3085-4858-94EC-89342A881E7E}">
  <sheetPr>
    <outlinePr summaryBelow="0" summaryRight="0"/>
  </sheetPr>
  <dimension ref="A1:R17"/>
  <sheetViews>
    <sheetView zoomScale="85" zoomScaleNormal="85" workbookViewId="0">
      <pane ySplit="10" topLeftCell="A11" activePane="bottomLeft" state="frozen"/>
      <selection pane="bottomLeft" activeCell="N23" sqref="N2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6384" width="9" style="1"/>
  </cols>
  <sheetData>
    <row r="1" spans="1:18" ht="13.8" thickBot="1"/>
    <row r="2" spans="1:18" s="30" customFormat="1" ht="15" customHeight="1">
      <c r="A2" s="92" t="s">
        <v>74</v>
      </c>
      <c r="B2" s="127" t="s">
        <v>75</v>
      </c>
      <c r="C2" s="127"/>
      <c r="D2" s="127"/>
      <c r="E2" s="128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56</v>
      </c>
    </row>
    <row r="3" spans="1:18" s="30" customFormat="1" ht="26.4">
      <c r="A3" s="93" t="s">
        <v>29</v>
      </c>
      <c r="B3" s="129" t="s">
        <v>30</v>
      </c>
      <c r="C3" s="129"/>
      <c r="D3" s="129"/>
      <c r="E3" s="130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57</v>
      </c>
    </row>
    <row r="4" spans="1:18" s="30" customFormat="1" ht="18" customHeight="1">
      <c r="A4" s="93" t="s">
        <v>70</v>
      </c>
      <c r="B4" s="129">
        <f>COUNTA(A12:A998)</f>
        <v>6</v>
      </c>
      <c r="C4" s="129"/>
      <c r="D4" s="129"/>
      <c r="E4" s="130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58</v>
      </c>
      <c r="B5" s="84" t="s">
        <v>56</v>
      </c>
      <c r="C5" s="84" t="s">
        <v>57</v>
      </c>
      <c r="D5" s="84" t="s">
        <v>55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59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61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62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69</v>
      </c>
      <c r="B10" s="83" t="s">
        <v>33</v>
      </c>
      <c r="C10" s="83" t="s">
        <v>54</v>
      </c>
      <c r="D10" s="83" t="s">
        <v>53</v>
      </c>
      <c r="E10" s="83" t="s">
        <v>60</v>
      </c>
      <c r="F10" s="83" t="s">
        <v>59</v>
      </c>
      <c r="G10" s="83" t="s">
        <v>34</v>
      </c>
      <c r="H10" s="83" t="s">
        <v>31</v>
      </c>
      <c r="I10" s="83" t="s">
        <v>61</v>
      </c>
      <c r="J10" s="83" t="s">
        <v>34</v>
      </c>
      <c r="K10" s="83" t="s">
        <v>31</v>
      </c>
      <c r="L10" s="83" t="s">
        <v>62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81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63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55</v>
      </c>
      <c r="G12" s="39"/>
      <c r="H12" s="39"/>
      <c r="I12" s="39" t="s">
        <v>55</v>
      </c>
      <c r="J12" s="39"/>
      <c r="K12" s="39"/>
      <c r="L12" s="39" t="s">
        <v>55</v>
      </c>
      <c r="M12" s="39"/>
      <c r="N12" s="39"/>
      <c r="O12" s="42"/>
      <c r="Q12" s="43"/>
    </row>
    <row r="13" spans="1:18" outlineLevel="1">
      <c r="A13" s="39" t="s">
        <v>64</v>
      </c>
      <c r="B13" s="39" t="s">
        <v>40</v>
      </c>
      <c r="C13" s="39"/>
      <c r="D13" s="45"/>
      <c r="E13" s="45"/>
      <c r="F13" s="39" t="s">
        <v>55</v>
      </c>
      <c r="G13" s="39"/>
      <c r="H13" s="39"/>
      <c r="I13" s="39" t="s">
        <v>55</v>
      </c>
      <c r="J13" s="39"/>
      <c r="K13" s="39"/>
      <c r="L13" s="39" t="s">
        <v>55</v>
      </c>
      <c r="M13" s="39"/>
      <c r="N13" s="39"/>
      <c r="O13" s="42"/>
      <c r="Q13" s="43"/>
    </row>
    <row r="14" spans="1:18" outlineLevel="1">
      <c r="A14" s="39" t="s">
        <v>65</v>
      </c>
      <c r="B14" s="39" t="s">
        <v>41</v>
      </c>
      <c r="C14" s="39"/>
      <c r="D14" s="45"/>
      <c r="E14" s="45"/>
      <c r="F14" s="39" t="s">
        <v>55</v>
      </c>
      <c r="G14" s="39"/>
      <c r="H14" s="39"/>
      <c r="I14" s="39" t="s">
        <v>55</v>
      </c>
      <c r="J14" s="39"/>
      <c r="K14" s="39"/>
      <c r="L14" s="39" t="s">
        <v>55</v>
      </c>
      <c r="M14" s="39"/>
      <c r="N14" s="39"/>
      <c r="O14" s="42"/>
      <c r="Q14" s="43"/>
    </row>
    <row r="15" spans="1:18" s="30" customFormat="1" ht="15.75" customHeight="1">
      <c r="A15" s="79" t="s">
        <v>82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66</v>
      </c>
      <c r="B16" s="39" t="s">
        <v>42</v>
      </c>
      <c r="C16" s="39"/>
      <c r="D16" s="39"/>
      <c r="E16" s="39"/>
      <c r="F16" s="39" t="s">
        <v>55</v>
      </c>
      <c r="G16" s="39"/>
      <c r="H16" s="39"/>
      <c r="I16" s="39" t="s">
        <v>55</v>
      </c>
      <c r="J16" s="39"/>
      <c r="K16" s="39"/>
      <c r="L16" s="39" t="s">
        <v>55</v>
      </c>
      <c r="M16" s="39"/>
      <c r="N16" s="39"/>
      <c r="O16" s="42"/>
      <c r="Q16" s="43"/>
    </row>
    <row r="17" spans="1:15" outlineLevel="1">
      <c r="A17" s="39" t="s">
        <v>67</v>
      </c>
      <c r="B17" s="39" t="s">
        <v>43</v>
      </c>
      <c r="C17" s="39"/>
      <c r="D17" s="39"/>
      <c r="E17" s="39"/>
      <c r="F17" s="39" t="s">
        <v>55</v>
      </c>
      <c r="G17" s="46"/>
      <c r="H17" s="46"/>
      <c r="I17" s="39" t="s">
        <v>55</v>
      </c>
      <c r="J17" s="46"/>
      <c r="K17" s="46"/>
      <c r="L17" s="39" t="s">
        <v>55</v>
      </c>
      <c r="M17" s="46"/>
      <c r="N17" s="46"/>
      <c r="O17" s="46"/>
    </row>
  </sheetData>
  <mergeCells count="3">
    <mergeCell ref="B2:E2"/>
    <mergeCell ref="B3:E3"/>
    <mergeCell ref="B4:E4"/>
  </mergeCells>
  <dataValidations count="2">
    <dataValidation type="list" allowBlank="1" showErrorMessage="1" sqref="G2:G3 G9 G18:G145 I12:I17 J2:J3 J9 J18:J145 F12:F17 M2:M3 M9 M18:M145 L12:L17" xr:uid="{0F3A6828-9603-4E66-AB16-E6869B6C3F0C}">
      <formula1>$R$2:$R$5</formula1>
      <formula2>0</formula2>
    </dataValidation>
    <dataValidation allowBlank="1" showErrorMessage="1" sqref="F10 I10 L10" xr:uid="{3678DAA3-9648-41E4-9116-A9F45A3C6925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R17"/>
  <sheetViews>
    <sheetView tabSelected="1" topLeftCell="C1" zoomScale="85" zoomScaleNormal="85" workbookViewId="0">
      <pane ySplit="10" topLeftCell="A11" activePane="bottomLeft" state="frozen"/>
      <selection pane="bottomLeft" activeCell="N23" sqref="N23"/>
    </sheetView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8" customWidth="1"/>
    <col min="18" max="18" width="7.6640625" style="1" hidden="1" customWidth="1"/>
    <col min="19" max="16384" width="9" style="1"/>
  </cols>
  <sheetData>
    <row r="1" spans="1:18" ht="13.8" thickBot="1"/>
    <row r="2" spans="1:18" s="30" customFormat="1" ht="15" customHeight="1">
      <c r="A2" s="92" t="s">
        <v>74</v>
      </c>
      <c r="B2" s="127" t="s">
        <v>75</v>
      </c>
      <c r="C2" s="127"/>
      <c r="D2" s="127"/>
      <c r="E2" s="128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56</v>
      </c>
    </row>
    <row r="3" spans="1:18" s="30" customFormat="1" ht="26.4">
      <c r="A3" s="93" t="s">
        <v>29</v>
      </c>
      <c r="B3" s="129" t="s">
        <v>30</v>
      </c>
      <c r="C3" s="129"/>
      <c r="D3" s="129"/>
      <c r="E3" s="130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57</v>
      </c>
    </row>
    <row r="4" spans="1:18" s="30" customFormat="1" ht="18" customHeight="1">
      <c r="A4" s="93" t="s">
        <v>70</v>
      </c>
      <c r="B4" s="129">
        <f>COUNTA(A12:A998)</f>
        <v>6</v>
      </c>
      <c r="C4" s="129"/>
      <c r="D4" s="129"/>
      <c r="E4" s="130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55</v>
      </c>
    </row>
    <row r="5" spans="1:18" s="30" customFormat="1" ht="19.5" customHeight="1">
      <c r="A5" s="86" t="s">
        <v>58</v>
      </c>
      <c r="B5" s="84" t="s">
        <v>56</v>
      </c>
      <c r="C5" s="84" t="s">
        <v>57</v>
      </c>
      <c r="D5" s="84" t="s">
        <v>55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59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61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62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69</v>
      </c>
      <c r="B10" s="83" t="s">
        <v>33</v>
      </c>
      <c r="C10" s="83" t="s">
        <v>54</v>
      </c>
      <c r="D10" s="83" t="s">
        <v>53</v>
      </c>
      <c r="E10" s="83" t="s">
        <v>60</v>
      </c>
      <c r="F10" s="83" t="s">
        <v>59</v>
      </c>
      <c r="G10" s="83" t="s">
        <v>34</v>
      </c>
      <c r="H10" s="83" t="s">
        <v>31</v>
      </c>
      <c r="I10" s="83" t="s">
        <v>61</v>
      </c>
      <c r="J10" s="83" t="s">
        <v>34</v>
      </c>
      <c r="K10" s="83" t="s">
        <v>31</v>
      </c>
      <c r="L10" s="83" t="s">
        <v>62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81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63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55</v>
      </c>
      <c r="G12" s="39"/>
      <c r="H12" s="39"/>
      <c r="I12" s="39" t="s">
        <v>55</v>
      </c>
      <c r="J12" s="39"/>
      <c r="K12" s="39"/>
      <c r="L12" s="39" t="s">
        <v>55</v>
      </c>
      <c r="M12" s="39"/>
      <c r="N12" s="39"/>
      <c r="O12" s="42"/>
      <c r="Q12" s="43"/>
    </row>
    <row r="13" spans="1:18" outlineLevel="1">
      <c r="A13" s="39" t="s">
        <v>64</v>
      </c>
      <c r="B13" s="39" t="s">
        <v>40</v>
      </c>
      <c r="C13" s="39"/>
      <c r="D13" s="45"/>
      <c r="E13" s="45"/>
      <c r="F13" s="39" t="s">
        <v>55</v>
      </c>
      <c r="G13" s="39"/>
      <c r="H13" s="39"/>
      <c r="I13" s="39" t="s">
        <v>55</v>
      </c>
      <c r="J13" s="39"/>
      <c r="K13" s="39"/>
      <c r="L13" s="39" t="s">
        <v>55</v>
      </c>
      <c r="M13" s="39"/>
      <c r="N13" s="39"/>
      <c r="O13" s="42"/>
      <c r="Q13" s="43"/>
    </row>
    <row r="14" spans="1:18" outlineLevel="1">
      <c r="A14" s="39" t="s">
        <v>65</v>
      </c>
      <c r="B14" s="39" t="s">
        <v>41</v>
      </c>
      <c r="C14" s="39"/>
      <c r="D14" s="45"/>
      <c r="E14" s="45"/>
      <c r="F14" s="39" t="s">
        <v>55</v>
      </c>
      <c r="G14" s="39"/>
      <c r="H14" s="39"/>
      <c r="I14" s="39" t="s">
        <v>55</v>
      </c>
      <c r="J14" s="39"/>
      <c r="K14" s="39"/>
      <c r="L14" s="39" t="s">
        <v>55</v>
      </c>
      <c r="M14" s="39"/>
      <c r="N14" s="39"/>
      <c r="O14" s="42"/>
      <c r="Q14" s="43"/>
    </row>
    <row r="15" spans="1:18" s="30" customFormat="1" ht="15.75" customHeight="1">
      <c r="A15" s="79" t="s">
        <v>82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66</v>
      </c>
      <c r="B16" s="39" t="s">
        <v>42</v>
      </c>
      <c r="C16" s="39"/>
      <c r="D16" s="39"/>
      <c r="E16" s="39"/>
      <c r="F16" s="39" t="s">
        <v>55</v>
      </c>
      <c r="G16" s="39"/>
      <c r="H16" s="39"/>
      <c r="I16" s="39" t="s">
        <v>55</v>
      </c>
      <c r="J16" s="39"/>
      <c r="K16" s="39"/>
      <c r="L16" s="39" t="s">
        <v>55</v>
      </c>
      <c r="M16" s="39"/>
      <c r="N16" s="39"/>
      <c r="O16" s="42"/>
      <c r="Q16" s="43"/>
    </row>
    <row r="17" spans="1:15" outlineLevel="1">
      <c r="A17" s="39" t="s">
        <v>67</v>
      </c>
      <c r="B17" s="39" t="s">
        <v>43</v>
      </c>
      <c r="C17" s="39"/>
      <c r="D17" s="39"/>
      <c r="E17" s="39"/>
      <c r="F17" s="39" t="s">
        <v>55</v>
      </c>
      <c r="G17" s="46"/>
      <c r="H17" s="46"/>
      <c r="I17" s="39" t="s">
        <v>55</v>
      </c>
      <c r="J17" s="46"/>
      <c r="K17" s="46"/>
      <c r="L17" s="39" t="s">
        <v>55</v>
      </c>
      <c r="M17" s="46"/>
      <c r="N17" s="46"/>
      <c r="O17" s="46"/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Workflow Authentication </vt:lpstr>
      <vt:lpstr>Workflow Dashboard</vt:lpstr>
      <vt:lpstr>Workflow Management</vt:lpstr>
      <vt:lpstr>Workflow Invoice</vt:lpstr>
      <vt:lpstr>Workflow Request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Hieu Vu</cp:lastModifiedBy>
  <cp:lastPrinted>2010-11-12T10:33:20Z</cp:lastPrinted>
  <dcterms:created xsi:type="dcterms:W3CDTF">2020-03-17T17:34:29Z</dcterms:created>
  <dcterms:modified xsi:type="dcterms:W3CDTF">2026-03-24T00:31:35Z</dcterms:modified>
  <cp:category>BM</cp:category>
</cp:coreProperties>
</file>