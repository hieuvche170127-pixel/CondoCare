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821" firstSheet="1" activeTab="7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Workflow Authentication " sheetId="4" state="visible" r:id="rId4"/>
    <sheet xmlns:r="http://schemas.openxmlformats.org/officeDocument/2006/relationships" name="Workflow Dashboard" sheetId="5" state="visible" r:id="rId5"/>
    <sheet xmlns:r="http://schemas.openxmlformats.org/officeDocument/2006/relationships" name="Workflow Management" sheetId="6" state="visible" r:id="rId6"/>
    <sheet xmlns:r="http://schemas.openxmlformats.org/officeDocument/2006/relationships" name="Workflow Invoice" sheetId="7" state="visible" r:id="rId7"/>
    <sheet xmlns:r="http://schemas.openxmlformats.org/officeDocument/2006/relationships" name="Workflow Request" sheetId="8" state="visible" r:id="rId8"/>
  </sheets>
  <definedNames>
    <definedName name="ACTION">#REF!</definedName>
    <definedName name="ACTION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\-mmm\-yy;@"/>
  </numFmts>
  <fonts count="26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family val="2"/>
      <sz val="11"/>
    </font>
    <font>
      <name val="Tahoma"/>
      <family val="2"/>
      <b val="1"/>
      <i val="1"/>
      <sz val="10"/>
    </font>
    <font>
      <name val="Tahoma"/>
      <family val="2"/>
      <color rgb="FF000000"/>
      <sz val="8"/>
    </font>
    <font>
      <name val="ＭＳ Ｐゴシック"/>
      <charset val="128"/>
      <family val="3"/>
      <sz val="11"/>
    </font>
    <font>
      <name val="Tahoma"/>
      <family val="2"/>
      <i val="1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  <font>
      <name val="Arial"/>
      <b val="1"/>
      <sz val="9.5"/>
    </font>
    <font>
      <name val="Arial"/>
      <sz val="9.5"/>
    </font>
  </fonts>
  <fills count="10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C8E6C9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20" fillId="0" borderId="0"/>
  </cellStyleXfs>
  <cellXfs count="174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10" fillId="5" borderId="13" applyAlignment="1" pivotButton="0" quotePrefix="0" xfId="3">
      <alignment horizontal="left" vertical="center"/>
    </xf>
    <xf numFmtId="0" fontId="10" fillId="5" borderId="14" applyAlignment="1" pivotButton="0" quotePrefix="0" xfId="3">
      <alignment horizontal="left" vertical="center"/>
    </xf>
    <xf numFmtId="0" fontId="10" fillId="5" borderId="2" applyAlignment="1" pivotButton="0" quotePrefix="0" xfId="3">
      <alignment horizontal="left" vertical="center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6" fillId="2" borderId="1" applyAlignment="1" pivotButton="0" quotePrefix="0" xfId="3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18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4" applyAlignment="1" pivotButton="0" quotePrefix="0" xfId="3">
      <alignment horizontal="center" vertical="top" wrapText="1"/>
    </xf>
    <xf numFmtId="0" fontId="2" fillId="2" borderId="31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30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0" fontId="3" fillId="0" borderId="13" applyAlignment="1" pivotButton="0" quotePrefix="0" xfId="5">
      <alignment horizontal="center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 indent="1"/>
    </xf>
    <xf numFmtId="0" fontId="6" fillId="0" borderId="0" applyAlignment="1" pivotButton="0" quotePrefix="0" xfId="5">
      <alignment horizontal="left" indent="1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" fillId="0" borderId="2" pivotButton="0" quotePrefix="0" xfId="5"/>
    <xf numFmtId="0" fontId="21" fillId="0" borderId="2" pivotButton="0" quotePrefix="0" xfId="5"/>
    <xf numFmtId="0" fontId="10" fillId="2" borderId="1" applyAlignment="1" pivotButton="0" quotePrefix="0" xfId="5">
      <alignment vertical="center"/>
    </xf>
    <xf numFmtId="0" fontId="21" fillId="0" borderId="2" applyAlignment="1" pivotButton="0" quotePrefix="0" xfId="5">
      <alignment horizontal="left" indent="1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 indent="1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1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1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 indent="1"/>
    </xf>
    <xf numFmtId="0" fontId="2" fillId="2" borderId="28" applyAlignment="1" pivotButton="0" quotePrefix="0" xfId="3">
      <alignment horizontal="left" vertical="top" wrapText="1"/>
    </xf>
    <xf numFmtId="0" fontId="2" fillId="2" borderId="29" applyAlignment="1" pivotButton="0" quotePrefix="0" xfId="3">
      <alignment horizontal="left" vertical="top" wrapText="1"/>
    </xf>
    <xf numFmtId="0" fontId="2" fillId="2" borderId="26" applyAlignment="1" pivotButton="0" quotePrefix="0" xfId="3">
      <alignment horizontal="left" vertical="top" wrapText="1"/>
    </xf>
    <xf numFmtId="0" fontId="2" fillId="2" borderId="31" applyAlignment="1" pivotButton="0" quotePrefix="0" xfId="3">
      <alignment horizontal="left" vertical="top" wrapText="1"/>
    </xf>
    <xf numFmtId="0" fontId="4" fillId="0" borderId="1" applyAlignment="1" pivotButton="0" quotePrefix="0" xfId="5">
      <alignment horizontal="center" vertical="center"/>
    </xf>
    <xf numFmtId="0" fontId="21" fillId="0" borderId="1" applyAlignment="1" pivotButton="0" quotePrefix="0" xfId="5">
      <alignment horizontal="left"/>
    </xf>
    <xf numFmtId="0" fontId="21" fillId="0" borderId="13" applyAlignment="1" pivotButton="0" quotePrefix="0" xfId="5">
      <alignment horizontal="left" vertical="center"/>
    </xf>
    <xf numFmtId="0" fontId="21" fillId="0" borderId="14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vertical="center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1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2" pivotButton="0" quotePrefix="0" xfId="0"/>
    <xf numFmtId="0" fontId="21" fillId="0" borderId="1" applyAlignment="1" pivotButton="0" quotePrefix="0" xfId="5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4" pivotButton="0" quotePrefix="0" xfId="0"/>
    <xf numFmtId="0" fontId="24" fillId="8" borderId="45" applyAlignment="1" pivotButton="0" quotePrefix="0" xfId="3">
      <alignment horizontal="left" vertical="top"/>
    </xf>
    <xf numFmtId="0" fontId="7" fillId="8" borderId="45" applyAlignment="1" pivotButton="0" quotePrefix="0" xfId="3">
      <alignment horizontal="center" vertical="center" wrapText="1"/>
    </xf>
    <xf numFmtId="0" fontId="7" fillId="7" borderId="26" applyAlignment="1" pivotButton="0" quotePrefix="0" xfId="3">
      <alignment horizontal="center" vertical="center" wrapText="1"/>
    </xf>
    <xf numFmtId="0" fontId="0" fillId="7" borderId="0" pivotButton="0" quotePrefix="0" xfId="0"/>
    <xf numFmtId="0" fontId="9" fillId="7" borderId="0" applyAlignment="1" pivotButton="0" quotePrefix="0" xfId="3">
      <alignment horizontal="center" vertical="center" wrapText="1"/>
    </xf>
    <xf numFmtId="0" fontId="24" fillId="9" borderId="45" applyAlignment="1" pivotButton="0" quotePrefix="0" xfId="3">
      <alignment horizontal="left" vertical="top" wrapText="1"/>
    </xf>
    <xf numFmtId="0" fontId="25" fillId="7" borderId="45" applyAlignment="1" pivotButton="0" quotePrefix="0" xfId="3">
      <alignment horizontal="left" vertical="top" wrapText="1"/>
    </xf>
    <xf numFmtId="0" fontId="25" fillId="9" borderId="45" applyAlignment="1" pivotButton="0" quotePrefix="0" xfId="3">
      <alignment horizontal="left" vertical="top" wrapText="1"/>
    </xf>
    <xf numFmtId="0" fontId="10" fillId="7" borderId="25" applyAlignment="1" pivotButton="0" quotePrefix="0" xfId="3">
      <alignment horizontal="left" vertical="center"/>
    </xf>
    <xf numFmtId="0" fontId="9" fillId="7" borderId="0" applyAlignment="1" pivotButton="0" quotePrefix="0" xfId="3">
      <alignment horizontal="left" vertical="center"/>
    </xf>
    <xf numFmtId="0" fontId="25" fillId="7" borderId="45" applyAlignment="1" pivotButton="0" quotePrefix="0" xfId="0">
      <alignment horizontal="left" vertical="top" wrapText="1"/>
    </xf>
    <xf numFmtId="0" fontId="2" fillId="7" borderId="1" applyAlignment="1" pivotButton="0" quotePrefix="0" xfId="0">
      <alignment vertical="top" wrapText="1"/>
    </xf>
    <xf numFmtId="0" fontId="13" fillId="7" borderId="0" applyAlignment="1" pivotButton="0" quotePrefix="0" xfId="0">
      <alignment vertical="top" wrapText="1"/>
    </xf>
    <xf numFmtId="0" fontId="10" fillId="8" borderId="45" applyAlignment="1" pivotButton="0" quotePrefix="0" xfId="3">
      <alignment horizontal="left" vertical="center"/>
    </xf>
    <xf numFmtId="0" fontId="10" fillId="7" borderId="2" applyAlignment="1" pivotButton="0" quotePrefix="0" xfId="3">
      <alignment horizontal="left" vertical="center"/>
    </xf>
    <xf numFmtId="0" fontId="2" fillId="7" borderId="1" pivotButton="0" quotePrefix="0" xfId="0"/>
    <xf numFmtId="0" fontId="2" fillId="8" borderId="45" applyAlignment="1" pivotButton="0" quotePrefix="0" xfId="3">
      <alignment vertical="top" wrapText="1"/>
    </xf>
    <xf numFmtId="0" fontId="14" fillId="8" borderId="45" applyAlignment="1" pivotButton="0" quotePrefix="0" xfId="0">
      <alignment horizontal="left" vertical="top" wrapText="1"/>
    </xf>
    <xf numFmtId="0" fontId="24" fillId="9" borderId="45" applyAlignment="1" pivotButton="0" quotePrefix="0" xfId="0">
      <alignment horizontal="left" vertical="top" wrapText="1"/>
    </xf>
    <xf numFmtId="0" fontId="25" fillId="0" borderId="45" applyAlignment="1" pivotButton="0" quotePrefix="0" xfId="0">
      <alignment horizontal="left" vertical="top" wrapText="1"/>
    </xf>
    <xf numFmtId="0" fontId="25" fillId="9" borderId="45" applyAlignment="1" pivotButton="0" quotePrefix="0" xfId="0">
      <alignment horizontal="left" vertical="top" wrapText="1"/>
    </xf>
    <xf numFmtId="0" fontId="24" fillId="8" borderId="45" applyAlignment="1" pivotButton="0" quotePrefix="0" xfId="0">
      <alignment horizontal="left" vertical="top"/>
    </xf>
    <xf numFmtId="0" fontId="0" fillId="8" borderId="45" pivotButton="0" quotePrefix="0" xfId="0"/>
  </cellXfs>
  <cellStyles count="6">
    <cellStyle name="Normal" xfId="0" builtinId="0"/>
    <cellStyle name="Hyperlink" xfId="1" builtinId="8"/>
    <cellStyle name="Normal_Functional Test Case v1.0" xfId="2"/>
    <cellStyle name="Normal_Sheet1" xfId="3"/>
    <cellStyle name="標準_結合試験(AllOvertheWorld)" xfId="4"/>
    <cellStyle name="Normal_Template_UnitTest Case_v0.9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88900</rowOff>
    </from>
    <to>
      <col>0</col>
      <colOff>2009775</colOff>
      <row>1</row>
      <rowOff>756396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51386"/>
          <a:ext cx="2009775" cy="66749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8966</colOff>
      <row>11</row>
      <rowOff>2</rowOff>
    </from>
    <to>
      <col>4</col>
      <colOff>0</colOff>
      <row>12</row>
      <rowOff>8966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827060" y="2447367"/>
          <a:ext cx="2366681" cy="13088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0</colOff>
      <row>12</row>
      <rowOff>2</rowOff>
    </from>
    <to>
      <col>4</col>
      <colOff>0</colOff>
      <row>13</row>
      <rowOff>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818094" y="3747249"/>
          <a:ext cx="2375647" cy="13267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zoomScale="85" zoomScaleNormal="85" workbookViewId="0">
      <selection activeCell="A1" sqref="A1"/>
    </sheetView>
  </sheetViews>
  <sheetFormatPr baseColWidth="8" defaultColWidth="9" defaultRowHeight="13.2"/>
  <cols>
    <col width="28.109375" customWidth="1" style="126" min="1" max="1"/>
    <col width="10" customWidth="1" style="99" min="2" max="2"/>
    <col width="14.33203125" customWidth="1" style="99" min="3" max="3"/>
    <col width="8" customWidth="1" style="99" min="4" max="4"/>
    <col width="38" customWidth="1" style="99" min="5" max="5"/>
    <col width="48.109375" customWidth="1" style="99" min="6" max="6"/>
    <col width="9" customWidth="1" style="99" min="7" max="256"/>
    <col width="28.109375" customWidth="1" style="99" min="257" max="257"/>
    <col width="10" customWidth="1" style="99" min="258" max="258"/>
    <col width="14.33203125" customWidth="1" style="99" min="259" max="259"/>
    <col width="8" customWidth="1" style="99" min="260" max="260"/>
    <col width="38" customWidth="1" style="99" min="261" max="261"/>
    <col width="48.109375" customWidth="1" style="99" min="262" max="262"/>
    <col width="9" customWidth="1" style="99" min="263" max="512"/>
    <col width="28.109375" customWidth="1" style="99" min="513" max="513"/>
    <col width="10" customWidth="1" style="99" min="514" max="514"/>
    <col width="14.33203125" customWidth="1" style="99" min="515" max="515"/>
    <col width="8" customWidth="1" style="99" min="516" max="516"/>
    <col width="38" customWidth="1" style="99" min="517" max="517"/>
    <col width="48.109375" customWidth="1" style="99" min="518" max="518"/>
    <col width="9" customWidth="1" style="99" min="519" max="768"/>
    <col width="28.109375" customWidth="1" style="99" min="769" max="769"/>
    <col width="10" customWidth="1" style="99" min="770" max="770"/>
    <col width="14.33203125" customWidth="1" style="99" min="771" max="771"/>
    <col width="8" customWidth="1" style="99" min="772" max="772"/>
    <col width="38" customWidth="1" style="99" min="773" max="773"/>
    <col width="48.109375" customWidth="1" style="99" min="774" max="774"/>
    <col width="9" customWidth="1" style="99" min="775" max="1024"/>
    <col width="28.109375" customWidth="1" style="99" min="1025" max="1025"/>
    <col width="10" customWidth="1" style="99" min="1026" max="1026"/>
    <col width="14.33203125" customWidth="1" style="99" min="1027" max="1027"/>
    <col width="8" customWidth="1" style="99" min="1028" max="1028"/>
    <col width="38" customWidth="1" style="99" min="1029" max="1029"/>
    <col width="48.109375" customWidth="1" style="99" min="1030" max="1030"/>
    <col width="9" customWidth="1" style="99" min="1031" max="1280"/>
    <col width="28.109375" customWidth="1" style="99" min="1281" max="1281"/>
    <col width="10" customWidth="1" style="99" min="1282" max="1282"/>
    <col width="14.33203125" customWidth="1" style="99" min="1283" max="1283"/>
    <col width="8" customWidth="1" style="99" min="1284" max="1284"/>
    <col width="38" customWidth="1" style="99" min="1285" max="1285"/>
    <col width="48.109375" customWidth="1" style="99" min="1286" max="1286"/>
    <col width="9" customWidth="1" style="99" min="1287" max="1536"/>
    <col width="28.109375" customWidth="1" style="99" min="1537" max="1537"/>
    <col width="10" customWidth="1" style="99" min="1538" max="1538"/>
    <col width="14.33203125" customWidth="1" style="99" min="1539" max="1539"/>
    <col width="8" customWidth="1" style="99" min="1540" max="1540"/>
    <col width="38" customWidth="1" style="99" min="1541" max="1541"/>
    <col width="48.109375" customWidth="1" style="99" min="1542" max="1542"/>
    <col width="9" customWidth="1" style="99" min="1543" max="1792"/>
    <col width="28.109375" customWidth="1" style="99" min="1793" max="1793"/>
    <col width="10" customWidth="1" style="99" min="1794" max="1794"/>
    <col width="14.33203125" customWidth="1" style="99" min="1795" max="1795"/>
    <col width="8" customWidth="1" style="99" min="1796" max="1796"/>
    <col width="38" customWidth="1" style="99" min="1797" max="1797"/>
    <col width="48.109375" customWidth="1" style="99" min="1798" max="1798"/>
    <col width="9" customWidth="1" style="99" min="1799" max="2048"/>
    <col width="28.109375" customWidth="1" style="99" min="2049" max="2049"/>
    <col width="10" customWidth="1" style="99" min="2050" max="2050"/>
    <col width="14.33203125" customWidth="1" style="99" min="2051" max="2051"/>
    <col width="8" customWidth="1" style="99" min="2052" max="2052"/>
    <col width="38" customWidth="1" style="99" min="2053" max="2053"/>
    <col width="48.109375" customWidth="1" style="99" min="2054" max="2054"/>
    <col width="9" customWidth="1" style="99" min="2055" max="2304"/>
    <col width="28.109375" customWidth="1" style="99" min="2305" max="2305"/>
    <col width="10" customWidth="1" style="99" min="2306" max="2306"/>
    <col width="14.33203125" customWidth="1" style="99" min="2307" max="2307"/>
    <col width="8" customWidth="1" style="99" min="2308" max="2308"/>
    <col width="38" customWidth="1" style="99" min="2309" max="2309"/>
    <col width="48.109375" customWidth="1" style="99" min="2310" max="2310"/>
    <col width="9" customWidth="1" style="99" min="2311" max="2560"/>
    <col width="28.109375" customWidth="1" style="99" min="2561" max="2561"/>
    <col width="10" customWidth="1" style="99" min="2562" max="2562"/>
    <col width="14.33203125" customWidth="1" style="99" min="2563" max="2563"/>
    <col width="8" customWidth="1" style="99" min="2564" max="2564"/>
    <col width="38" customWidth="1" style="99" min="2565" max="2565"/>
    <col width="48.109375" customWidth="1" style="99" min="2566" max="2566"/>
    <col width="9" customWidth="1" style="99" min="2567" max="2816"/>
    <col width="28.109375" customWidth="1" style="99" min="2817" max="2817"/>
    <col width="10" customWidth="1" style="99" min="2818" max="2818"/>
    <col width="14.33203125" customWidth="1" style="99" min="2819" max="2819"/>
    <col width="8" customWidth="1" style="99" min="2820" max="2820"/>
    <col width="38" customWidth="1" style="99" min="2821" max="2821"/>
    <col width="48.109375" customWidth="1" style="99" min="2822" max="2822"/>
    <col width="9" customWidth="1" style="99" min="2823" max="3072"/>
    <col width="28.109375" customWidth="1" style="99" min="3073" max="3073"/>
    <col width="10" customWidth="1" style="99" min="3074" max="3074"/>
    <col width="14.33203125" customWidth="1" style="99" min="3075" max="3075"/>
    <col width="8" customWidth="1" style="99" min="3076" max="3076"/>
    <col width="38" customWidth="1" style="99" min="3077" max="3077"/>
    <col width="48.109375" customWidth="1" style="99" min="3078" max="3078"/>
    <col width="9" customWidth="1" style="99" min="3079" max="3328"/>
    <col width="28.109375" customWidth="1" style="99" min="3329" max="3329"/>
    <col width="10" customWidth="1" style="99" min="3330" max="3330"/>
    <col width="14.33203125" customWidth="1" style="99" min="3331" max="3331"/>
    <col width="8" customWidth="1" style="99" min="3332" max="3332"/>
    <col width="38" customWidth="1" style="99" min="3333" max="3333"/>
    <col width="48.109375" customWidth="1" style="99" min="3334" max="3334"/>
    <col width="9" customWidth="1" style="99" min="3335" max="3584"/>
    <col width="28.109375" customWidth="1" style="99" min="3585" max="3585"/>
    <col width="10" customWidth="1" style="99" min="3586" max="3586"/>
    <col width="14.33203125" customWidth="1" style="99" min="3587" max="3587"/>
    <col width="8" customWidth="1" style="99" min="3588" max="3588"/>
    <col width="38" customWidth="1" style="99" min="3589" max="3589"/>
    <col width="48.109375" customWidth="1" style="99" min="3590" max="3590"/>
    <col width="9" customWidth="1" style="99" min="3591" max="3840"/>
    <col width="28.109375" customWidth="1" style="99" min="3841" max="3841"/>
    <col width="10" customWidth="1" style="99" min="3842" max="3842"/>
    <col width="14.33203125" customWidth="1" style="99" min="3843" max="3843"/>
    <col width="8" customWidth="1" style="99" min="3844" max="3844"/>
    <col width="38" customWidth="1" style="99" min="3845" max="3845"/>
    <col width="48.109375" customWidth="1" style="99" min="3846" max="3846"/>
    <col width="9" customWidth="1" style="99" min="3847" max="4096"/>
    <col width="28.109375" customWidth="1" style="99" min="4097" max="4097"/>
    <col width="10" customWidth="1" style="99" min="4098" max="4098"/>
    <col width="14.33203125" customWidth="1" style="99" min="4099" max="4099"/>
    <col width="8" customWidth="1" style="99" min="4100" max="4100"/>
    <col width="38" customWidth="1" style="99" min="4101" max="4101"/>
    <col width="48.109375" customWidth="1" style="99" min="4102" max="4102"/>
    <col width="9" customWidth="1" style="99" min="4103" max="4352"/>
    <col width="28.109375" customWidth="1" style="99" min="4353" max="4353"/>
    <col width="10" customWidth="1" style="99" min="4354" max="4354"/>
    <col width="14.33203125" customWidth="1" style="99" min="4355" max="4355"/>
    <col width="8" customWidth="1" style="99" min="4356" max="4356"/>
    <col width="38" customWidth="1" style="99" min="4357" max="4357"/>
    <col width="48.109375" customWidth="1" style="99" min="4358" max="4358"/>
    <col width="9" customWidth="1" style="99" min="4359" max="4608"/>
    <col width="28.109375" customWidth="1" style="99" min="4609" max="4609"/>
    <col width="10" customWidth="1" style="99" min="4610" max="4610"/>
    <col width="14.33203125" customWidth="1" style="99" min="4611" max="4611"/>
    <col width="8" customWidth="1" style="99" min="4612" max="4612"/>
    <col width="38" customWidth="1" style="99" min="4613" max="4613"/>
    <col width="48.109375" customWidth="1" style="99" min="4614" max="4614"/>
    <col width="9" customWidth="1" style="99" min="4615" max="4864"/>
    <col width="28.109375" customWidth="1" style="99" min="4865" max="4865"/>
    <col width="10" customWidth="1" style="99" min="4866" max="4866"/>
    <col width="14.33203125" customWidth="1" style="99" min="4867" max="4867"/>
    <col width="8" customWidth="1" style="99" min="4868" max="4868"/>
    <col width="38" customWidth="1" style="99" min="4869" max="4869"/>
    <col width="48.109375" customWidth="1" style="99" min="4870" max="4870"/>
    <col width="9" customWidth="1" style="99" min="4871" max="5120"/>
    <col width="28.109375" customWidth="1" style="99" min="5121" max="5121"/>
    <col width="10" customWidth="1" style="99" min="5122" max="5122"/>
    <col width="14.33203125" customWidth="1" style="99" min="5123" max="5123"/>
    <col width="8" customWidth="1" style="99" min="5124" max="5124"/>
    <col width="38" customWidth="1" style="99" min="5125" max="5125"/>
    <col width="48.109375" customWidth="1" style="99" min="5126" max="5126"/>
    <col width="9" customWidth="1" style="99" min="5127" max="5376"/>
    <col width="28.109375" customWidth="1" style="99" min="5377" max="5377"/>
    <col width="10" customWidth="1" style="99" min="5378" max="5378"/>
    <col width="14.33203125" customWidth="1" style="99" min="5379" max="5379"/>
    <col width="8" customWidth="1" style="99" min="5380" max="5380"/>
    <col width="38" customWidth="1" style="99" min="5381" max="5381"/>
    <col width="48.109375" customWidth="1" style="99" min="5382" max="5382"/>
    <col width="9" customWidth="1" style="99" min="5383" max="5632"/>
    <col width="28.109375" customWidth="1" style="99" min="5633" max="5633"/>
    <col width="10" customWidth="1" style="99" min="5634" max="5634"/>
    <col width="14.33203125" customWidth="1" style="99" min="5635" max="5635"/>
    <col width="8" customWidth="1" style="99" min="5636" max="5636"/>
    <col width="38" customWidth="1" style="99" min="5637" max="5637"/>
    <col width="48.109375" customWidth="1" style="99" min="5638" max="5638"/>
    <col width="9" customWidth="1" style="99" min="5639" max="5888"/>
    <col width="28.109375" customWidth="1" style="99" min="5889" max="5889"/>
    <col width="10" customWidth="1" style="99" min="5890" max="5890"/>
    <col width="14.33203125" customWidth="1" style="99" min="5891" max="5891"/>
    <col width="8" customWidth="1" style="99" min="5892" max="5892"/>
    <col width="38" customWidth="1" style="99" min="5893" max="5893"/>
    <col width="48.109375" customWidth="1" style="99" min="5894" max="5894"/>
    <col width="9" customWidth="1" style="99" min="5895" max="6144"/>
    <col width="28.109375" customWidth="1" style="99" min="6145" max="6145"/>
    <col width="10" customWidth="1" style="99" min="6146" max="6146"/>
    <col width="14.33203125" customWidth="1" style="99" min="6147" max="6147"/>
    <col width="8" customWidth="1" style="99" min="6148" max="6148"/>
    <col width="38" customWidth="1" style="99" min="6149" max="6149"/>
    <col width="48.109375" customWidth="1" style="99" min="6150" max="6150"/>
    <col width="9" customWidth="1" style="99" min="6151" max="6400"/>
    <col width="28.109375" customWidth="1" style="99" min="6401" max="6401"/>
    <col width="10" customWidth="1" style="99" min="6402" max="6402"/>
    <col width="14.33203125" customWidth="1" style="99" min="6403" max="6403"/>
    <col width="8" customWidth="1" style="99" min="6404" max="6404"/>
    <col width="38" customWidth="1" style="99" min="6405" max="6405"/>
    <col width="48.109375" customWidth="1" style="99" min="6406" max="6406"/>
    <col width="9" customWidth="1" style="99" min="6407" max="6656"/>
    <col width="28.109375" customWidth="1" style="99" min="6657" max="6657"/>
    <col width="10" customWidth="1" style="99" min="6658" max="6658"/>
    <col width="14.33203125" customWidth="1" style="99" min="6659" max="6659"/>
    <col width="8" customWidth="1" style="99" min="6660" max="6660"/>
    <col width="38" customWidth="1" style="99" min="6661" max="6661"/>
    <col width="48.109375" customWidth="1" style="99" min="6662" max="6662"/>
    <col width="9" customWidth="1" style="99" min="6663" max="6912"/>
    <col width="28.109375" customWidth="1" style="99" min="6913" max="6913"/>
    <col width="10" customWidth="1" style="99" min="6914" max="6914"/>
    <col width="14.33203125" customWidth="1" style="99" min="6915" max="6915"/>
    <col width="8" customWidth="1" style="99" min="6916" max="6916"/>
    <col width="38" customWidth="1" style="99" min="6917" max="6917"/>
    <col width="48.109375" customWidth="1" style="99" min="6918" max="6918"/>
    <col width="9" customWidth="1" style="99" min="6919" max="7168"/>
    <col width="28.109375" customWidth="1" style="99" min="7169" max="7169"/>
    <col width="10" customWidth="1" style="99" min="7170" max="7170"/>
    <col width="14.33203125" customWidth="1" style="99" min="7171" max="7171"/>
    <col width="8" customWidth="1" style="99" min="7172" max="7172"/>
    <col width="38" customWidth="1" style="99" min="7173" max="7173"/>
    <col width="48.109375" customWidth="1" style="99" min="7174" max="7174"/>
    <col width="9" customWidth="1" style="99" min="7175" max="7424"/>
    <col width="28.109375" customWidth="1" style="99" min="7425" max="7425"/>
    <col width="10" customWidth="1" style="99" min="7426" max="7426"/>
    <col width="14.33203125" customWidth="1" style="99" min="7427" max="7427"/>
    <col width="8" customWidth="1" style="99" min="7428" max="7428"/>
    <col width="38" customWidth="1" style="99" min="7429" max="7429"/>
    <col width="48.109375" customWidth="1" style="99" min="7430" max="7430"/>
    <col width="9" customWidth="1" style="99" min="7431" max="7680"/>
    <col width="28.109375" customWidth="1" style="99" min="7681" max="7681"/>
    <col width="10" customWidth="1" style="99" min="7682" max="7682"/>
    <col width="14.33203125" customWidth="1" style="99" min="7683" max="7683"/>
    <col width="8" customWidth="1" style="99" min="7684" max="7684"/>
    <col width="38" customWidth="1" style="99" min="7685" max="7685"/>
    <col width="48.109375" customWidth="1" style="99" min="7686" max="7686"/>
    <col width="9" customWidth="1" style="99" min="7687" max="7936"/>
    <col width="28.109375" customWidth="1" style="99" min="7937" max="7937"/>
    <col width="10" customWidth="1" style="99" min="7938" max="7938"/>
    <col width="14.33203125" customWidth="1" style="99" min="7939" max="7939"/>
    <col width="8" customWidth="1" style="99" min="7940" max="7940"/>
    <col width="38" customWidth="1" style="99" min="7941" max="7941"/>
    <col width="48.109375" customWidth="1" style="99" min="7942" max="7942"/>
    <col width="9" customWidth="1" style="99" min="7943" max="8192"/>
    <col width="28.109375" customWidth="1" style="99" min="8193" max="8193"/>
    <col width="10" customWidth="1" style="99" min="8194" max="8194"/>
    <col width="14.33203125" customWidth="1" style="99" min="8195" max="8195"/>
    <col width="8" customWidth="1" style="99" min="8196" max="8196"/>
    <col width="38" customWidth="1" style="99" min="8197" max="8197"/>
    <col width="48.109375" customWidth="1" style="99" min="8198" max="8198"/>
    <col width="9" customWidth="1" style="99" min="8199" max="8448"/>
    <col width="28.109375" customWidth="1" style="99" min="8449" max="8449"/>
    <col width="10" customWidth="1" style="99" min="8450" max="8450"/>
    <col width="14.33203125" customWidth="1" style="99" min="8451" max="8451"/>
    <col width="8" customWidth="1" style="99" min="8452" max="8452"/>
    <col width="38" customWidth="1" style="99" min="8453" max="8453"/>
    <col width="48.109375" customWidth="1" style="99" min="8454" max="8454"/>
    <col width="9" customWidth="1" style="99" min="8455" max="8704"/>
    <col width="28.109375" customWidth="1" style="99" min="8705" max="8705"/>
    <col width="10" customWidth="1" style="99" min="8706" max="8706"/>
    <col width="14.33203125" customWidth="1" style="99" min="8707" max="8707"/>
    <col width="8" customWidth="1" style="99" min="8708" max="8708"/>
    <col width="38" customWidth="1" style="99" min="8709" max="8709"/>
    <col width="48.109375" customWidth="1" style="99" min="8710" max="8710"/>
    <col width="9" customWidth="1" style="99" min="8711" max="8960"/>
    <col width="28.109375" customWidth="1" style="99" min="8961" max="8961"/>
    <col width="10" customWidth="1" style="99" min="8962" max="8962"/>
    <col width="14.33203125" customWidth="1" style="99" min="8963" max="8963"/>
    <col width="8" customWidth="1" style="99" min="8964" max="8964"/>
    <col width="38" customWidth="1" style="99" min="8965" max="8965"/>
    <col width="48.109375" customWidth="1" style="99" min="8966" max="8966"/>
    <col width="9" customWidth="1" style="99" min="8967" max="9216"/>
    <col width="28.109375" customWidth="1" style="99" min="9217" max="9217"/>
    <col width="10" customWidth="1" style="99" min="9218" max="9218"/>
    <col width="14.33203125" customWidth="1" style="99" min="9219" max="9219"/>
    <col width="8" customWidth="1" style="99" min="9220" max="9220"/>
    <col width="38" customWidth="1" style="99" min="9221" max="9221"/>
    <col width="48.109375" customWidth="1" style="99" min="9222" max="9222"/>
    <col width="9" customWidth="1" style="99" min="9223" max="9472"/>
    <col width="28.109375" customWidth="1" style="99" min="9473" max="9473"/>
    <col width="10" customWidth="1" style="99" min="9474" max="9474"/>
    <col width="14.33203125" customWidth="1" style="99" min="9475" max="9475"/>
    <col width="8" customWidth="1" style="99" min="9476" max="9476"/>
    <col width="38" customWidth="1" style="99" min="9477" max="9477"/>
    <col width="48.109375" customWidth="1" style="99" min="9478" max="9478"/>
    <col width="9" customWidth="1" style="99" min="9479" max="9728"/>
    <col width="28.109375" customWidth="1" style="99" min="9729" max="9729"/>
    <col width="10" customWidth="1" style="99" min="9730" max="9730"/>
    <col width="14.33203125" customWidth="1" style="99" min="9731" max="9731"/>
    <col width="8" customWidth="1" style="99" min="9732" max="9732"/>
    <col width="38" customWidth="1" style="99" min="9733" max="9733"/>
    <col width="48.109375" customWidth="1" style="99" min="9734" max="9734"/>
    <col width="9" customWidth="1" style="99" min="9735" max="9984"/>
    <col width="28.109375" customWidth="1" style="99" min="9985" max="9985"/>
    <col width="10" customWidth="1" style="99" min="9986" max="9986"/>
    <col width="14.33203125" customWidth="1" style="99" min="9987" max="9987"/>
    <col width="8" customWidth="1" style="99" min="9988" max="9988"/>
    <col width="38" customWidth="1" style="99" min="9989" max="9989"/>
    <col width="48.109375" customWidth="1" style="99" min="9990" max="9990"/>
    <col width="9" customWidth="1" style="99" min="9991" max="10240"/>
    <col width="28.109375" customWidth="1" style="99" min="10241" max="10241"/>
    <col width="10" customWidth="1" style="99" min="10242" max="10242"/>
    <col width="14.33203125" customWidth="1" style="99" min="10243" max="10243"/>
    <col width="8" customWidth="1" style="99" min="10244" max="10244"/>
    <col width="38" customWidth="1" style="99" min="10245" max="10245"/>
    <col width="48.109375" customWidth="1" style="99" min="10246" max="10246"/>
    <col width="9" customWidth="1" style="99" min="10247" max="10496"/>
    <col width="28.109375" customWidth="1" style="99" min="10497" max="10497"/>
    <col width="10" customWidth="1" style="99" min="10498" max="10498"/>
    <col width="14.33203125" customWidth="1" style="99" min="10499" max="10499"/>
    <col width="8" customWidth="1" style="99" min="10500" max="10500"/>
    <col width="38" customWidth="1" style="99" min="10501" max="10501"/>
    <col width="48.109375" customWidth="1" style="99" min="10502" max="10502"/>
    <col width="9" customWidth="1" style="99" min="10503" max="10752"/>
    <col width="28.109375" customWidth="1" style="99" min="10753" max="10753"/>
    <col width="10" customWidth="1" style="99" min="10754" max="10754"/>
    <col width="14.33203125" customWidth="1" style="99" min="10755" max="10755"/>
    <col width="8" customWidth="1" style="99" min="10756" max="10756"/>
    <col width="38" customWidth="1" style="99" min="10757" max="10757"/>
    <col width="48.109375" customWidth="1" style="99" min="10758" max="10758"/>
    <col width="9" customWidth="1" style="99" min="10759" max="11008"/>
    <col width="28.109375" customWidth="1" style="99" min="11009" max="11009"/>
    <col width="10" customWidth="1" style="99" min="11010" max="11010"/>
    <col width="14.33203125" customWidth="1" style="99" min="11011" max="11011"/>
    <col width="8" customWidth="1" style="99" min="11012" max="11012"/>
    <col width="38" customWidth="1" style="99" min="11013" max="11013"/>
    <col width="48.109375" customWidth="1" style="99" min="11014" max="11014"/>
    <col width="9" customWidth="1" style="99" min="11015" max="11264"/>
    <col width="28.109375" customWidth="1" style="99" min="11265" max="11265"/>
    <col width="10" customWidth="1" style="99" min="11266" max="11266"/>
    <col width="14.33203125" customWidth="1" style="99" min="11267" max="11267"/>
    <col width="8" customWidth="1" style="99" min="11268" max="11268"/>
    <col width="38" customWidth="1" style="99" min="11269" max="11269"/>
    <col width="48.109375" customWidth="1" style="99" min="11270" max="11270"/>
    <col width="9" customWidth="1" style="99" min="11271" max="11520"/>
    <col width="28.109375" customWidth="1" style="99" min="11521" max="11521"/>
    <col width="10" customWidth="1" style="99" min="11522" max="11522"/>
    <col width="14.33203125" customWidth="1" style="99" min="11523" max="11523"/>
    <col width="8" customWidth="1" style="99" min="11524" max="11524"/>
    <col width="38" customWidth="1" style="99" min="11525" max="11525"/>
    <col width="48.109375" customWidth="1" style="99" min="11526" max="11526"/>
    <col width="9" customWidth="1" style="99" min="11527" max="11776"/>
    <col width="28.109375" customWidth="1" style="99" min="11777" max="11777"/>
    <col width="10" customWidth="1" style="99" min="11778" max="11778"/>
    <col width="14.33203125" customWidth="1" style="99" min="11779" max="11779"/>
    <col width="8" customWidth="1" style="99" min="11780" max="11780"/>
    <col width="38" customWidth="1" style="99" min="11781" max="11781"/>
    <col width="48.109375" customWidth="1" style="99" min="11782" max="11782"/>
    <col width="9" customWidth="1" style="99" min="11783" max="12032"/>
    <col width="28.109375" customWidth="1" style="99" min="12033" max="12033"/>
    <col width="10" customWidth="1" style="99" min="12034" max="12034"/>
    <col width="14.33203125" customWidth="1" style="99" min="12035" max="12035"/>
    <col width="8" customWidth="1" style="99" min="12036" max="12036"/>
    <col width="38" customWidth="1" style="99" min="12037" max="12037"/>
    <col width="48.109375" customWidth="1" style="99" min="12038" max="12038"/>
    <col width="9" customWidth="1" style="99" min="12039" max="12288"/>
    <col width="28.109375" customWidth="1" style="99" min="12289" max="12289"/>
    <col width="10" customWidth="1" style="99" min="12290" max="12290"/>
    <col width="14.33203125" customWidth="1" style="99" min="12291" max="12291"/>
    <col width="8" customWidth="1" style="99" min="12292" max="12292"/>
    <col width="38" customWidth="1" style="99" min="12293" max="12293"/>
    <col width="48.109375" customWidth="1" style="99" min="12294" max="12294"/>
    <col width="9" customWidth="1" style="99" min="12295" max="12544"/>
    <col width="28.109375" customWidth="1" style="99" min="12545" max="12545"/>
    <col width="10" customWidth="1" style="99" min="12546" max="12546"/>
    <col width="14.33203125" customWidth="1" style="99" min="12547" max="12547"/>
    <col width="8" customWidth="1" style="99" min="12548" max="12548"/>
    <col width="38" customWidth="1" style="99" min="12549" max="12549"/>
    <col width="48.109375" customWidth="1" style="99" min="12550" max="12550"/>
    <col width="9" customWidth="1" style="99" min="12551" max="12800"/>
    <col width="28.109375" customWidth="1" style="99" min="12801" max="12801"/>
    <col width="10" customWidth="1" style="99" min="12802" max="12802"/>
    <col width="14.33203125" customWidth="1" style="99" min="12803" max="12803"/>
    <col width="8" customWidth="1" style="99" min="12804" max="12804"/>
    <col width="38" customWidth="1" style="99" min="12805" max="12805"/>
    <col width="48.109375" customWidth="1" style="99" min="12806" max="12806"/>
    <col width="9" customWidth="1" style="99" min="12807" max="13056"/>
    <col width="28.109375" customWidth="1" style="99" min="13057" max="13057"/>
    <col width="10" customWidth="1" style="99" min="13058" max="13058"/>
    <col width="14.33203125" customWidth="1" style="99" min="13059" max="13059"/>
    <col width="8" customWidth="1" style="99" min="13060" max="13060"/>
    <col width="38" customWidth="1" style="99" min="13061" max="13061"/>
    <col width="48.109375" customWidth="1" style="99" min="13062" max="13062"/>
    <col width="9" customWidth="1" style="99" min="13063" max="13312"/>
    <col width="28.109375" customWidth="1" style="99" min="13313" max="13313"/>
    <col width="10" customWidth="1" style="99" min="13314" max="13314"/>
    <col width="14.33203125" customWidth="1" style="99" min="13315" max="13315"/>
    <col width="8" customWidth="1" style="99" min="13316" max="13316"/>
    <col width="38" customWidth="1" style="99" min="13317" max="13317"/>
    <col width="48.109375" customWidth="1" style="99" min="13318" max="13318"/>
    <col width="9" customWidth="1" style="99" min="13319" max="13568"/>
    <col width="28.109375" customWidth="1" style="99" min="13569" max="13569"/>
    <col width="10" customWidth="1" style="99" min="13570" max="13570"/>
    <col width="14.33203125" customWidth="1" style="99" min="13571" max="13571"/>
    <col width="8" customWidth="1" style="99" min="13572" max="13572"/>
    <col width="38" customWidth="1" style="99" min="13573" max="13573"/>
    <col width="48.109375" customWidth="1" style="99" min="13574" max="13574"/>
    <col width="9" customWidth="1" style="99" min="13575" max="13824"/>
    <col width="28.109375" customWidth="1" style="99" min="13825" max="13825"/>
    <col width="10" customWidth="1" style="99" min="13826" max="13826"/>
    <col width="14.33203125" customWidth="1" style="99" min="13827" max="13827"/>
    <col width="8" customWidth="1" style="99" min="13828" max="13828"/>
    <col width="38" customWidth="1" style="99" min="13829" max="13829"/>
    <col width="48.109375" customWidth="1" style="99" min="13830" max="13830"/>
    <col width="9" customWidth="1" style="99" min="13831" max="14080"/>
    <col width="28.109375" customWidth="1" style="99" min="14081" max="14081"/>
    <col width="10" customWidth="1" style="99" min="14082" max="14082"/>
    <col width="14.33203125" customWidth="1" style="99" min="14083" max="14083"/>
    <col width="8" customWidth="1" style="99" min="14084" max="14084"/>
    <col width="38" customWidth="1" style="99" min="14085" max="14085"/>
    <col width="48.109375" customWidth="1" style="99" min="14086" max="14086"/>
    <col width="9" customWidth="1" style="99" min="14087" max="14336"/>
    <col width="28.109375" customWidth="1" style="99" min="14337" max="14337"/>
    <col width="10" customWidth="1" style="99" min="14338" max="14338"/>
    <col width="14.33203125" customWidth="1" style="99" min="14339" max="14339"/>
    <col width="8" customWidth="1" style="99" min="14340" max="14340"/>
    <col width="38" customWidth="1" style="99" min="14341" max="14341"/>
    <col width="48.109375" customWidth="1" style="99" min="14342" max="14342"/>
    <col width="9" customWidth="1" style="99" min="14343" max="14592"/>
    <col width="28.109375" customWidth="1" style="99" min="14593" max="14593"/>
    <col width="10" customWidth="1" style="99" min="14594" max="14594"/>
    <col width="14.33203125" customWidth="1" style="99" min="14595" max="14595"/>
    <col width="8" customWidth="1" style="99" min="14596" max="14596"/>
    <col width="38" customWidth="1" style="99" min="14597" max="14597"/>
    <col width="48.109375" customWidth="1" style="99" min="14598" max="14598"/>
    <col width="9" customWidth="1" style="99" min="14599" max="14848"/>
    <col width="28.109375" customWidth="1" style="99" min="14849" max="14849"/>
    <col width="10" customWidth="1" style="99" min="14850" max="14850"/>
    <col width="14.33203125" customWidth="1" style="99" min="14851" max="14851"/>
    <col width="8" customWidth="1" style="99" min="14852" max="14852"/>
    <col width="38" customWidth="1" style="99" min="14853" max="14853"/>
    <col width="48.109375" customWidth="1" style="99" min="14854" max="14854"/>
    <col width="9" customWidth="1" style="99" min="14855" max="15104"/>
    <col width="28.109375" customWidth="1" style="99" min="15105" max="15105"/>
    <col width="10" customWidth="1" style="99" min="15106" max="15106"/>
    <col width="14.33203125" customWidth="1" style="99" min="15107" max="15107"/>
    <col width="8" customWidth="1" style="99" min="15108" max="15108"/>
    <col width="38" customWidth="1" style="99" min="15109" max="15109"/>
    <col width="48.109375" customWidth="1" style="99" min="15110" max="15110"/>
    <col width="9" customWidth="1" style="99" min="15111" max="15360"/>
    <col width="28.109375" customWidth="1" style="99" min="15361" max="15361"/>
    <col width="10" customWidth="1" style="99" min="15362" max="15362"/>
    <col width="14.33203125" customWidth="1" style="99" min="15363" max="15363"/>
    <col width="8" customWidth="1" style="99" min="15364" max="15364"/>
    <col width="38" customWidth="1" style="99" min="15365" max="15365"/>
    <col width="48.109375" customWidth="1" style="99" min="15366" max="15366"/>
    <col width="9" customWidth="1" style="99" min="15367" max="15616"/>
    <col width="28.109375" customWidth="1" style="99" min="15617" max="15617"/>
    <col width="10" customWidth="1" style="99" min="15618" max="15618"/>
    <col width="14.33203125" customWidth="1" style="99" min="15619" max="15619"/>
    <col width="8" customWidth="1" style="99" min="15620" max="15620"/>
    <col width="38" customWidth="1" style="99" min="15621" max="15621"/>
    <col width="48.109375" customWidth="1" style="99" min="15622" max="15622"/>
    <col width="9" customWidth="1" style="99" min="15623" max="15872"/>
    <col width="28.109375" customWidth="1" style="99" min="15873" max="15873"/>
    <col width="10" customWidth="1" style="99" min="15874" max="15874"/>
    <col width="14.33203125" customWidth="1" style="99" min="15875" max="15875"/>
    <col width="8" customWidth="1" style="99" min="15876" max="15876"/>
    <col width="38" customWidth="1" style="99" min="15877" max="15877"/>
    <col width="48.109375" customWidth="1" style="99" min="15878" max="15878"/>
    <col width="9" customWidth="1" style="99" min="15879" max="16128"/>
    <col width="28.109375" customWidth="1" style="99" min="16129" max="16129"/>
    <col width="10" customWidth="1" style="99" min="16130" max="16130"/>
    <col width="14.33203125" customWidth="1" style="99" min="16131" max="16131"/>
    <col width="8" customWidth="1" style="99" min="16132" max="16132"/>
    <col width="38" customWidth="1" style="99" min="16133" max="16133"/>
    <col width="48.109375" customWidth="1" style="99" min="16134" max="16134"/>
    <col width="9" customWidth="1" style="99" min="16135" max="16384"/>
  </cols>
  <sheetData>
    <row r="2" ht="75.75" customFormat="1" customHeight="1" s="96">
      <c r="A2" s="95" t="n"/>
      <c r="B2" s="131" t="inlineStr">
        <is>
          <t>SYSTEM TEST REPORT DOCUMENT</t>
        </is>
      </c>
      <c r="C2" s="144" t="n"/>
      <c r="D2" s="144" t="n"/>
      <c r="E2" s="144" t="n"/>
      <c r="F2" s="145" t="n"/>
    </row>
    <row r="3">
      <c r="A3" s="97" t="n"/>
      <c r="B3" s="98" t="n"/>
      <c r="E3" s="100" t="n"/>
    </row>
    <row r="4" ht="14.25" customHeight="1">
      <c r="A4" s="101" t="inlineStr">
        <is>
          <t>Project Name</t>
        </is>
      </c>
      <c r="B4" s="132" t="inlineStr">
        <is>
          <t>CondoCare — Apartment Building Management</t>
        </is>
      </c>
      <c r="C4" s="144" t="n"/>
      <c r="D4" s="145" t="n"/>
      <c r="E4" s="101" t="inlineStr">
        <is>
          <t>Team</t>
        </is>
      </c>
      <c r="F4" s="102" t="n"/>
    </row>
    <row r="5" ht="14.25" customHeight="1">
      <c r="A5" s="101" t="inlineStr">
        <is>
          <t>Project Code</t>
        </is>
      </c>
      <c r="B5" s="132" t="inlineStr">
        <is>
          <t>SWP391_G_CondoCare</t>
        </is>
      </c>
      <c r="C5" s="144" t="n"/>
      <c r="D5" s="145" t="n"/>
      <c r="E5" s="101" t="inlineStr">
        <is>
          <t>Issue Date</t>
        </is>
      </c>
      <c r="F5" s="103" t="inlineStr">
        <is>
          <t>07/04/2026</t>
        </is>
      </c>
    </row>
    <row r="6" ht="15.75" customHeight="1">
      <c r="A6" s="104" t="inlineStr">
        <is>
          <t>Document Code</t>
        </is>
      </c>
      <c r="B6" s="146">
        <f>B5&amp;"_"&amp;"XXX"&amp;"_"&amp;"vx.x"</f>
        <v/>
      </c>
      <c r="C6" s="144" t="n"/>
      <c r="D6" s="145" t="n"/>
      <c r="E6" s="101" t="inlineStr">
        <is>
          <t>Version</t>
        </is>
      </c>
      <c r="F6" s="105" t="n"/>
    </row>
    <row r="7">
      <c r="A7" s="106" t="n"/>
      <c r="B7" s="107" t="n"/>
      <c r="E7" s="108" t="n"/>
      <c r="F7" s="98" t="n"/>
    </row>
    <row r="8">
      <c r="A8" s="99" t="n"/>
    </row>
    <row r="9">
      <c r="A9" s="109" t="inlineStr">
        <is>
          <t>Record of change</t>
        </is>
      </c>
    </row>
    <row r="10" customFormat="1" s="113">
      <c r="A10" s="110" t="inlineStr">
        <is>
          <t>Effective Date</t>
        </is>
      </c>
      <c r="B10" s="111" t="inlineStr">
        <is>
          <t>Version</t>
        </is>
      </c>
      <c r="C10" s="111" t="inlineStr">
        <is>
          <t>Change Item</t>
        </is>
      </c>
      <c r="D10" s="111" t="inlineStr">
        <is>
          <t>*A,D,M</t>
        </is>
      </c>
      <c r="E10" s="111" t="inlineStr">
        <is>
          <t>Change description</t>
        </is>
      </c>
      <c r="F10" s="112" t="inlineStr">
        <is>
          <t>Reference</t>
        </is>
      </c>
    </row>
    <row r="11" ht="26.25" customFormat="1" customHeight="1" s="119">
      <c r="A11" s="114" t="inlineStr">
        <is>
          <t>07/04/2026</t>
        </is>
      </c>
      <c r="B11" s="115" t="inlineStr">
        <is>
          <t>v1.0</t>
        </is>
      </c>
      <c r="C11" s="116" t="inlineStr">
        <is>
          <t>Initial complete system test — UC01–UC29</t>
        </is>
      </c>
      <c r="D11" s="116" t="inlineStr">
        <is>
          <t>A</t>
        </is>
      </c>
      <c r="E11" s="117" t="n"/>
      <c r="F11" s="118" t="inlineStr">
        <is>
          <t>CondoCare RDS v1.1</t>
        </is>
      </c>
    </row>
    <row r="12" ht="21.75" customFormat="1" customHeight="1" s="119">
      <c r="A12" s="120" t="n"/>
      <c r="B12" s="115" t="n"/>
      <c r="C12" s="116" t="n"/>
      <c r="D12" s="116" t="n"/>
      <c r="E12" s="116" t="n"/>
      <c r="F12" s="121" t="n"/>
    </row>
    <row r="13" ht="19.5" customFormat="1" customHeight="1" s="119">
      <c r="A13" s="120" t="n"/>
      <c r="B13" s="115" t="n"/>
      <c r="C13" s="116" t="n"/>
      <c r="D13" s="116" t="n"/>
      <c r="E13" s="116" t="n"/>
      <c r="F13" s="121" t="n"/>
    </row>
    <row r="14" ht="21.75" customFormat="1" customHeight="1" s="119">
      <c r="A14" s="120" t="n"/>
      <c r="B14" s="115" t="n"/>
      <c r="C14" s="116" t="n"/>
      <c r="D14" s="116" t="n"/>
      <c r="E14" s="116" t="n"/>
      <c r="F14" s="121" t="n"/>
    </row>
    <row r="15" ht="19.5" customFormat="1" customHeight="1" s="119">
      <c r="A15" s="120" t="n"/>
      <c r="B15" s="115" t="n"/>
      <c r="C15" s="116" t="n"/>
      <c r="D15" s="116" t="n"/>
      <c r="E15" s="116" t="n"/>
      <c r="F15" s="121" t="n"/>
    </row>
    <row r="16" ht="21.75" customFormat="1" customHeight="1" s="119">
      <c r="A16" s="120" t="n"/>
      <c r="B16" s="115" t="n"/>
      <c r="C16" s="116" t="n"/>
      <c r="D16" s="116" t="n"/>
      <c r="E16" s="116" t="n"/>
      <c r="F16" s="121" t="n"/>
    </row>
    <row r="17" ht="19.5" customFormat="1" customHeight="1" s="119">
      <c r="A17" s="122" t="n"/>
      <c r="B17" s="123" t="n"/>
      <c r="C17" s="124" t="n"/>
      <c r="D17" s="124" t="n"/>
      <c r="E17" s="124" t="n"/>
      <c r="F17" s="125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B12" sqref="B12"/>
    </sheetView>
  </sheetViews>
  <sheetFormatPr baseColWidth="8" defaultColWidth="9" defaultRowHeight="13.2"/>
  <cols>
    <col width="1.33203125" customWidth="1" style="1" min="1" max="1"/>
    <col width="6.44140625" customWidth="1" style="3" min="2" max="2"/>
    <col width="26.44140625" customWidth="1" style="4" min="3" max="3"/>
    <col width="17.109375" customWidth="1" style="4" min="4" max="4"/>
    <col width="28.109375" customWidth="1" style="4" min="5" max="5"/>
    <col width="30.6640625" customWidth="1" style="4" min="6" max="6"/>
    <col width="9" customWidth="1" style="1" min="7" max="16384"/>
  </cols>
  <sheetData>
    <row r="1" ht="24.6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>
      <c r="B3" s="138" t="inlineStr">
        <is>
          <t>Project Name</t>
        </is>
      </c>
      <c r="C3" s="144" t="n"/>
      <c r="D3" s="139">
        <f>#REF!</f>
        <v/>
      </c>
      <c r="E3" s="144" t="n"/>
      <c r="F3" s="145" t="n"/>
    </row>
    <row r="4">
      <c r="B4" s="138" t="inlineStr">
        <is>
          <t>Project Code</t>
        </is>
      </c>
      <c r="C4" s="144" t="n"/>
      <c r="D4" s="139" t="inlineStr">
        <is>
          <t>CondoCare — Apartment Building Management</t>
        </is>
      </c>
      <c r="E4" s="144" t="n"/>
      <c r="F4" s="145" t="n"/>
    </row>
    <row r="5" ht="84.75" customFormat="1" customHeight="1" s="9">
      <c r="B5" s="136" t="inlineStr">
        <is>
          <t>Test Environment Setup Description</t>
        </is>
      </c>
      <c r="C5" s="145" t="n"/>
      <c r="D5" s="137" t="inlineStr">
        <is>
          <t>SWP391_G_CondoCare</t>
        </is>
      </c>
      <c r="E5" s="144" t="n"/>
      <c r="F5" s="145" t="n"/>
    </row>
    <row r="6">
      <c r="B6" s="10" t="n"/>
      <c r="C6" s="1" t="n"/>
      <c r="D6" s="1" t="inlineStr">
        <is>
          <t>1. Java 17 + Spring Boot 3
2. MySQL 8 (SWP391 database)
3. Chrome / Firefox browser
4. MoMo Sandbox credentials configured
5. Gmail SMTP (App Password) configured</t>
        </is>
      </c>
      <c r="E6" s="1" t="n"/>
      <c r="F6" s="1" t="n"/>
    </row>
    <row r="7" customFormat="1" s="11">
      <c r="B7" s="12" t="n"/>
      <c r="C7" s="13" t="n"/>
      <c r="D7" s="13" t="n"/>
      <c r="E7" s="13" t="n"/>
      <c r="F7" s="13" t="n"/>
    </row>
    <row r="8" ht="21" customFormat="1" customHeight="1" s="14">
      <c r="B8" s="15" t="n">
        <v>1</v>
      </c>
      <c r="C8" s="16" t="inlineStr">
        <is>
          <t>Authentication</t>
        </is>
      </c>
      <c r="D8" s="16" t="inlineStr">
        <is>
          <t xml:space="preserve">Workflow Authentication </t>
        </is>
      </c>
      <c r="E8" s="17" t="inlineStr">
        <is>
          <t>UC01–UC04: Register, Login, Logout, Forgot/Reset Password</t>
        </is>
      </c>
      <c r="F8" s="18" t="inlineStr"/>
    </row>
    <row r="9">
      <c r="B9" s="19" t="n">
        <v>2</v>
      </c>
      <c r="C9" s="20" t="inlineStr">
        <is>
          <t>Staff Dashboard + Profile</t>
        </is>
      </c>
      <c r="D9" s="94" t="inlineStr">
        <is>
          <t>Workflow Dashboard</t>
        </is>
      </c>
      <c r="E9" s="21" t="inlineStr">
        <is>
          <t>UC05–UC08: Profile Mgmt + Dashboard Overview</t>
        </is>
      </c>
      <c r="F9" s="22" t="inlineStr"/>
    </row>
    <row r="10">
      <c r="B10" s="19" t="n">
        <v>3</v>
      </c>
      <c r="C10" s="20" t="inlineStr">
        <is>
          <t>Staff Management</t>
        </is>
      </c>
      <c r="D10" s="94" t="inlineStr">
        <is>
          <t>Workflow Management</t>
        </is>
      </c>
      <c r="E10" s="21" t="inlineStr">
        <is>
          <t>UC09–UC12: Staff, Resident, Building, Fee Templates</t>
        </is>
      </c>
      <c r="F10" s="22" t="inlineStr"/>
    </row>
    <row r="11">
      <c r="B11" s="19" t="n">
        <v>4</v>
      </c>
      <c r="C11" s="20" t="inlineStr">
        <is>
          <t>Invoice &amp; Payment</t>
        </is>
      </c>
      <c r="D11" s="94" t="inlineStr">
        <is>
          <t>Workflow Invoice</t>
        </is>
      </c>
      <c r="E11" s="21" t="inlineStr">
        <is>
          <t>UC13–UC17: Create/View Invoice, Update Status, Pay MoMo</t>
        </is>
      </c>
      <c r="F11" s="22" t="inlineStr"/>
    </row>
    <row r="12">
      <c r="B12" s="19" t="n">
        <v>5</v>
      </c>
      <c r="C12" s="20" t="inlineStr">
        <is>
          <t>Service Requests + Vehicles + Notifications</t>
        </is>
      </c>
      <c r="D12" s="94" t="inlineStr">
        <is>
          <t>Workflow Request</t>
        </is>
      </c>
      <c r="E12" s="21" t="inlineStr">
        <is>
          <t>UC18–UC29: Requests, Vehicles, Notifications, Apt Info</t>
        </is>
      </c>
      <c r="F12" s="22" t="inlineStr"/>
    </row>
    <row r="13">
      <c r="B13" s="19" t="n">
        <v>5</v>
      </c>
      <c r="C13" s="20" t="inlineStr">
        <is>
          <t>Function E</t>
        </is>
      </c>
      <c r="D13" s="94" t="inlineStr">
        <is>
          <t>Workflow Name2</t>
        </is>
      </c>
      <c r="E13" s="21" t="n"/>
      <c r="F13" s="22" t="n"/>
    </row>
    <row r="14">
      <c r="B14" s="19" t="n"/>
      <c r="C14" s="20" t="n"/>
      <c r="D14" s="23" t="n"/>
      <c r="E14" s="23" t="n"/>
      <c r="F14" s="22" t="n"/>
    </row>
    <row r="15">
      <c r="B15" s="19" t="n"/>
      <c r="C15" s="20" t="n"/>
      <c r="D15" s="23" t="n"/>
      <c r="E15" s="23" t="n"/>
      <c r="F15" s="22" t="n"/>
    </row>
    <row r="16">
      <c r="B16" s="19" t="n"/>
      <c r="C16" s="20" t="n"/>
      <c r="D16" s="23" t="n"/>
      <c r="E16" s="23" t="n"/>
      <c r="F16" s="22" t="n"/>
    </row>
    <row r="17">
      <c r="B17" s="19" t="n"/>
      <c r="C17" s="20" t="n"/>
      <c r="D17" s="23" t="n"/>
      <c r="E17" s="23" t="n"/>
      <c r="F17" s="22" t="n"/>
    </row>
    <row r="18">
      <c r="B18" s="19" t="n"/>
      <c r="C18" s="20" t="n"/>
      <c r="D18" s="23" t="n"/>
      <c r="E18" s="23" t="n"/>
      <c r="F18" s="22" t="n"/>
    </row>
    <row r="19">
      <c r="B19" s="19" t="n"/>
      <c r="C19" s="20" t="n"/>
      <c r="D19" s="23" t="n"/>
      <c r="E19" s="23" t="n"/>
      <c r="F19" s="22" t="n"/>
    </row>
    <row r="20">
      <c r="B20" s="19" t="n"/>
      <c r="C20" s="20" t="n"/>
      <c r="D20" s="23" t="n"/>
      <c r="E20" s="23" t="n"/>
      <c r="F20" s="22" t="n"/>
    </row>
    <row r="21">
      <c r="B21" s="24" t="n"/>
      <c r="C21" s="25" t="n"/>
      <c r="D21" s="26" t="n"/>
      <c r="E21" s="26" t="n"/>
      <c r="F21" s="27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'Workflow Name1'!A1" display="Workflow Name1"/>
    <hyperlink ref="D10" location="'Workflow Name1'!A1" display="Workflow Name1"/>
    <hyperlink ref="D11" location="'Workflow Name1'!A1" display="Workflow Name1"/>
    <hyperlink ref="D12" location="'Workflow Name2'!A1" display="Workflow Name2"/>
    <hyperlink ref="D13" location="'Workflow Name2'!A1" display="Workflow Name2"/>
  </hyperlinks>
  <pageMargins left="0.7479166666666667" right="0.7479166666666667" top="0.9840277777777778" bottom="1.150694444444444" header="0.5118055555555556" footer="0.9840277777777778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H13" sqref="H13"/>
    </sheetView>
  </sheetViews>
  <sheetFormatPr baseColWidth="8" defaultColWidth="9" defaultRowHeight="13.2"/>
  <cols>
    <col width="4.44140625" customWidth="1" style="1" min="1" max="1"/>
    <col width="18.33203125" customWidth="1" style="1" min="2" max="2"/>
    <col width="19.33203125" customWidth="1" style="1" min="3" max="3"/>
    <col width="11.6640625" customWidth="1" style="1" min="4" max="6"/>
    <col width="9" customWidth="1" style="1" min="7" max="7"/>
    <col width="35.44140625" customWidth="1" style="1" min="8" max="8"/>
    <col width="33.109375" customWidth="1" style="1" min="9" max="9"/>
    <col width="9" customWidth="1" style="1" min="10" max="16384"/>
  </cols>
  <sheetData>
    <row r="1" ht="25.5" customHeight="1">
      <c r="B1" s="142" t="inlineStr">
        <is>
          <t>TEST STATISTICS</t>
        </is>
      </c>
    </row>
    <row r="2" ht="14.25" customHeight="1">
      <c r="A2" s="47" t="n"/>
      <c r="B2" s="47" t="n"/>
      <c r="C2" s="48" t="n"/>
      <c r="D2" s="48" t="n"/>
      <c r="E2" s="48" t="n"/>
      <c r="F2" s="48" t="n"/>
      <c r="G2" s="48" t="n"/>
      <c r="H2" s="49" t="n"/>
    </row>
    <row r="3" ht="12" customHeight="1">
      <c r="B3" s="2" t="inlineStr">
        <is>
          <t>Project Name</t>
        </is>
      </c>
      <c r="C3" s="139" t="inlineStr">
        <is>
          <t>&lt;Project Name&gt;</t>
        </is>
      </c>
      <c r="D3" s="145" t="n"/>
      <c r="E3" s="140" t="inlineStr">
        <is>
          <t>Creator</t>
        </is>
      </c>
      <c r="F3" s="145" t="n"/>
      <c r="G3" s="50" t="n"/>
      <c r="H3" s="51" t="n"/>
    </row>
    <row r="4" ht="12" customHeight="1">
      <c r="B4" s="2" t="inlineStr">
        <is>
          <t>Project Code</t>
        </is>
      </c>
      <c r="C4" s="139" t="inlineStr">
        <is>
          <t>CondoCare — Apartment Building Management</t>
        </is>
      </c>
      <c r="D4" s="145" t="n"/>
      <c r="E4" s="140" t="inlineStr">
        <is>
          <t>Reviewer/Approver</t>
        </is>
      </c>
      <c r="F4" s="145" t="n"/>
      <c r="G4" s="50" t="n"/>
      <c r="H4" s="51" t="n"/>
    </row>
    <row r="5" ht="12" customHeight="1">
      <c r="B5" s="52" t="inlineStr">
        <is>
          <t>Document Code</t>
        </is>
      </c>
      <c r="C5" s="139" t="inlineStr">
        <is>
          <t>SWP391_G_CondoCare</t>
        </is>
      </c>
      <c r="D5" s="145" t="n"/>
      <c r="E5" s="140" t="inlineStr">
        <is>
          <t>Issue Date</t>
        </is>
      </c>
      <c r="F5" s="145" t="n"/>
      <c r="G5" s="50" t="n"/>
      <c r="H5" s="53" t="inlineStr">
        <is>
          <t>&lt;Date when this test report is created&gt;</t>
        </is>
      </c>
    </row>
    <row r="6" ht="21.75" customHeight="1">
      <c r="A6" s="47" t="n"/>
      <c r="B6" s="52" t="inlineStr">
        <is>
          <t>Notes</t>
        </is>
      </c>
      <c r="C6" s="141" t="inlineStr">
        <is>
          <t>&lt;List modules included in this release&gt; ex: Release 1 includes 2 modules: Module1 and Module2</t>
        </is>
      </c>
      <c r="D6" s="144" t="n"/>
      <c r="E6" s="144" t="n"/>
      <c r="F6" s="144" t="n"/>
      <c r="G6" s="144" t="n"/>
      <c r="H6" s="145" t="n"/>
    </row>
    <row r="7" ht="14.25" customHeight="1">
      <c r="A7" s="47" t="n"/>
      <c r="B7" s="54" t="n"/>
      <c r="C7" s="55" t="inlineStr">
        <is>
          <t>Release 1.0: Authentication, Dashboard, Management, Invoice, Requests, Vehicles, Notifications</t>
        </is>
      </c>
      <c r="D7" s="48" t="n"/>
      <c r="E7" s="48" t="n"/>
      <c r="F7" s="48" t="n"/>
      <c r="G7" s="48" t="n"/>
      <c r="H7" s="49" t="n"/>
    </row>
    <row r="8">
      <c r="B8" s="54" t="n"/>
      <c r="C8" s="55" t="n"/>
      <c r="D8" s="48" t="n"/>
      <c r="E8" s="48" t="n"/>
      <c r="F8" s="48" t="n"/>
      <c r="G8" s="48" t="n"/>
      <c r="H8" s="49" t="n"/>
    </row>
    <row r="9">
      <c r="B9" t="n">
        <v>1</v>
      </c>
      <c r="C9" t="inlineStr">
        <is>
          <t>Workflow Authentication</t>
        </is>
      </c>
      <c r="D9">
        <f>'Workflow Authentication '!B6</f>
        <v/>
      </c>
      <c r="E9">
        <f>'Workflow Authentication '!C6</f>
        <v/>
      </c>
      <c r="F9">
        <f>'Workflow Authentication '!D6</f>
        <v/>
      </c>
      <c r="G9">
        <f>'Workflow Authentication '!E6</f>
        <v/>
      </c>
      <c r="H9">
        <f>'Workflow Authentication '!B4</f>
        <v/>
      </c>
    </row>
    <row r="10">
      <c r="A10" s="56" t="n"/>
      <c r="B10" s="57" t="n">
        <v>2</v>
      </c>
      <c r="C10" s="58" t="inlineStr">
        <is>
          <t>Workflow Dashboard</t>
        </is>
      </c>
      <c r="D10" s="59">
        <f>'Workflow Dashboard'!B6</f>
        <v/>
      </c>
      <c r="E10" s="58">
        <f>'Workflow Dashboard'!C6</f>
        <v/>
      </c>
      <c r="F10" s="58">
        <f>'Workflow Dashboard'!D6</f>
        <v/>
      </c>
      <c r="G10" s="60">
        <f>'Workflow Dashboard'!E6</f>
        <v/>
      </c>
      <c r="H10" s="61">
        <f>'Workflow Dashboard'!B4</f>
        <v/>
      </c>
    </row>
    <row r="11">
      <c r="A11" s="56" t="n"/>
      <c r="B11" s="62" t="n">
        <v>3</v>
      </c>
      <c r="C11" s="63" t="inlineStr">
        <is>
          <t>Workflow Management</t>
        </is>
      </c>
      <c r="D11" s="64">
        <f>'Workflow Management'!B6</f>
        <v/>
      </c>
      <c r="E11" s="64">
        <f>'Workflow Management'!C6</f>
        <v/>
      </c>
      <c r="F11" s="64">
        <f>'Workflow Management'!D6</f>
        <v/>
      </c>
      <c r="G11" s="64">
        <f>'Workflow Management'!E6</f>
        <v/>
      </c>
      <c r="H11" s="66">
        <f>'Workflow Management'!B4</f>
        <v/>
      </c>
    </row>
    <row r="12">
      <c r="A12" s="56" t="n"/>
      <c r="B12" s="62" t="n">
        <v>4</v>
      </c>
      <c r="C12" s="63" t="inlineStr">
        <is>
          <t>Workflow Invoice</t>
        </is>
      </c>
      <c r="D12" s="64">
        <f>'Workflow Invoice'!B6</f>
        <v/>
      </c>
      <c r="E12" s="64">
        <f>'Workflow Invoice'!C6</f>
        <v/>
      </c>
      <c r="F12" s="64">
        <f>'Workflow Invoice'!D6</f>
        <v/>
      </c>
      <c r="G12" s="64">
        <f>'Workflow Invoice'!E6</f>
        <v/>
      </c>
      <c r="H12" s="64">
        <f>'Workflow Invoice'!B4</f>
        <v/>
      </c>
    </row>
    <row r="13">
      <c r="A13" s="56" t="n"/>
      <c r="B13" s="62" t="n">
        <v>5</v>
      </c>
      <c r="C13" s="63" t="inlineStr">
        <is>
          <t>Workflow Request</t>
        </is>
      </c>
      <c r="D13" s="64">
        <f>'Workflow Request'!B6</f>
        <v/>
      </c>
      <c r="E13" s="64">
        <f>'Workflow Request'!C6</f>
        <v/>
      </c>
      <c r="F13" s="64">
        <f>'Workflow Request'!D6</f>
        <v/>
      </c>
      <c r="G13" s="65">
        <f>'Workflow Request'!E6</f>
        <v/>
      </c>
      <c r="H13" s="66">
        <f>'Workflow Request'!B4</f>
        <v/>
      </c>
    </row>
    <row r="14">
      <c r="A14" s="56" t="n"/>
      <c r="B14" s="67" t="n"/>
      <c r="C14" s="68" t="inlineStr">
        <is>
          <t>Sub total</t>
        </is>
      </c>
      <c r="D14" s="69">
        <f>SUM(D9:D13)</f>
        <v/>
      </c>
      <c r="E14" s="69">
        <f>SUM(E9:E13)</f>
        <v/>
      </c>
      <c r="F14" s="69">
        <f>SUM(F9:F13)</f>
        <v/>
      </c>
      <c r="G14" s="69">
        <f>SUM(G9:G13)</f>
        <v/>
      </c>
      <c r="H14" s="70">
        <f>SUM(H9:H13)</f>
        <v/>
      </c>
    </row>
    <row r="15">
      <c r="B15" s="71" t="n"/>
      <c r="D15" s="72" t="n"/>
      <c r="E15" s="73" t="n"/>
      <c r="F15" s="73" t="n"/>
      <c r="G15" s="73" t="n"/>
      <c r="H15" s="73" t="n"/>
    </row>
    <row r="16">
      <c r="C16" s="74" t="inlineStr">
        <is>
          <t>Test coverage</t>
        </is>
      </c>
      <c r="E16" s="75">
        <f>(D14+E14)*100/(H14-G14)</f>
        <v/>
      </c>
      <c r="F16" s="1" t="inlineStr">
        <is>
          <t>%</t>
        </is>
      </c>
      <c r="H16" s="33" t="n"/>
    </row>
    <row r="17">
      <c r="C17" s="74" t="inlineStr">
        <is>
          <t>Test successful coverage</t>
        </is>
      </c>
      <c r="E17" s="75">
        <f>D14*100/(H14-G14)</f>
        <v/>
      </c>
      <c r="F17" s="1" t="inlineStr">
        <is>
          <t>%</t>
        </is>
      </c>
      <c r="H17" s="33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.5118055555555556" footer="0.5"/>
  <pageSetup orientation="landscape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R27"/>
  <sheetViews>
    <sheetView zoomScale="85" zoomScaleNormal="85" workbookViewId="0">
      <pane ySplit="10" topLeftCell="A11" activePane="bottomLeft" state="frozen"/>
      <selection pane="bottomLeft" activeCell="H10" sqref="H10"/>
    </sheetView>
  </sheetViews>
  <sheetFormatPr baseColWidth="8" defaultColWidth="9" defaultRowHeight="13.2" outlineLevelRow="1"/>
  <cols>
    <col width="12" customWidth="1" style="1" min="1" max="1"/>
    <col width="28" customWidth="1" style="1" min="2" max="2"/>
    <col width="32" customWidth="1" style="1" min="3" max="3"/>
    <col width="28" customWidth="1" style="1" min="4" max="4"/>
    <col width="22" customWidth="1" style="1" min="5" max="5"/>
    <col width="9" customWidth="1" style="1" min="6" max="6"/>
    <col outlineLevel="1" width="11" customWidth="1" style="1" min="7" max="7"/>
    <col outlineLevel="1" width="9" bestFit="1" customWidth="1" style="1" min="8" max="8"/>
    <col width="9" customWidth="1" style="1" min="9" max="9"/>
    <col outlineLevel="1" width="11" customWidth="1" style="1" min="10" max="10"/>
    <col outlineLevel="1" width="9" bestFit="1" customWidth="1" style="1" min="11" max="11"/>
    <col width="9" customWidth="1" style="1" min="12" max="12"/>
    <col outlineLevel="1" width="11" customWidth="1" style="1" min="13" max="13"/>
    <col outlineLevel="1" width="9" bestFit="1" customWidth="1" style="1" min="14" max="14"/>
    <col width="28.6640625" customWidth="1" style="1" min="15" max="15"/>
    <col width="10.109375" customWidth="1" style="1" min="16" max="16"/>
    <col width="8.109375" customWidth="1" style="28" min="17" max="17"/>
    <col hidden="1" width="7.6640625" customWidth="1" style="1" min="18" max="18"/>
    <col width="9" customWidth="1" style="1" min="19" max="16384"/>
  </cols>
  <sheetData>
    <row r="1" ht="13.8" customHeight="1" thickBot="1">
      <c r="B1" t="inlineStr">
        <is>
          <t>Workflow Authentication</t>
        </is>
      </c>
    </row>
    <row r="2" ht="15" customFormat="1" customHeight="1" s="30">
      <c r="A2" s="92" t="inlineStr">
        <is>
          <t>Workflow</t>
        </is>
      </c>
      <c r="B2" s="127" t="inlineStr">
        <is>
          <t>UC01–UC04: Register, Login, Logout, Forgot/Reset Password</t>
        </is>
      </c>
      <c r="C2" s="147" t="n"/>
      <c r="D2" s="147" t="n"/>
      <c r="E2" s="148" t="n"/>
      <c r="F2" s="82" t="n"/>
      <c r="G2" s="76" t="n"/>
      <c r="H2" s="9" t="n"/>
      <c r="I2" s="82" t="n"/>
      <c r="J2" s="76" t="n"/>
      <c r="K2" s="9" t="n"/>
      <c r="L2" s="82" t="n"/>
      <c r="M2" s="76" t="n"/>
      <c r="N2" s="9" t="n"/>
      <c r="O2" s="9" t="n"/>
      <c r="P2" s="9" t="n"/>
      <c r="Q2" s="29" t="n"/>
      <c r="R2" s="30" t="inlineStr">
        <is>
          <t>Passed</t>
        </is>
      </c>
    </row>
    <row r="3" ht="26.4" customFormat="1" customHeight="1" s="30">
      <c r="A3" s="93" t="inlineStr">
        <is>
          <t>Test requirement</t>
        </is>
      </c>
      <c r="B3" s="129" t="inlineStr">
        <is>
          <t>Đăng nhập tài khoản, tạo tài khoản và reset mật khẩu</t>
        </is>
      </c>
      <c r="C3" s="149" t="n"/>
      <c r="D3" s="149" t="n"/>
      <c r="E3" s="150" t="n"/>
      <c r="F3" s="82" t="n"/>
      <c r="G3" s="76" t="n"/>
      <c r="H3" s="9" t="n"/>
      <c r="I3" s="82" t="n"/>
      <c r="J3" s="76" t="n"/>
      <c r="K3" s="9" t="n"/>
      <c r="L3" s="82" t="n"/>
      <c r="M3" s="76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93" t="inlineStr">
        <is>
          <t>Number of TCs</t>
        </is>
      </c>
      <c r="B4" s="129">
        <f>COUNTA(A12:A999)</f>
        <v/>
      </c>
      <c r="C4" s="149" t="n"/>
      <c r="D4" s="149" t="n"/>
      <c r="E4" s="150" t="n"/>
      <c r="F4" s="82" t="n"/>
      <c r="G4" s="76" t="n"/>
      <c r="H4" s="9" t="n"/>
      <c r="I4" s="82" t="n"/>
      <c r="J4" s="76" t="n"/>
      <c r="K4" s="9" t="n"/>
      <c r="L4" s="82" t="n"/>
      <c r="M4" s="76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6" t="inlineStr">
        <is>
          <t>Testing Round</t>
        </is>
      </c>
      <c r="B5" s="84" t="inlineStr">
        <is>
          <t>Passed</t>
        </is>
      </c>
      <c r="C5" s="84" t="inlineStr">
        <is>
          <t>Failed</t>
        </is>
      </c>
      <c r="D5" s="84" t="inlineStr">
        <is>
          <t>Pending</t>
        </is>
      </c>
      <c r="E5" s="87" t="inlineStr">
        <is>
          <t>N/A</t>
        </is>
      </c>
      <c r="F5" s="77" t="n"/>
      <c r="G5" s="77" t="n"/>
      <c r="H5" s="31" t="n"/>
      <c r="I5" s="77" t="n"/>
      <c r="J5" s="77" t="n"/>
      <c r="K5" s="31" t="n"/>
      <c r="L5" s="77" t="n"/>
      <c r="M5" s="77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6" t="inlineStr">
        <is>
          <t>Round 1</t>
        </is>
      </c>
      <c r="B6" s="85">
        <f>COUNTIF($F10:$F997,B5)</f>
        <v/>
      </c>
      <c r="C6" s="85">
        <f>COUNTIF($F10:$F997,C5)</f>
        <v/>
      </c>
      <c r="D6" s="85">
        <f>COUNTIF($F10:$F997,D5)</f>
        <v/>
      </c>
      <c r="E6" s="91">
        <f>COUNTIF($F10:$F997,E5)</f>
        <v/>
      </c>
      <c r="F6" s="78" t="n"/>
      <c r="G6" s="78" t="n"/>
      <c r="H6" s="31" t="n"/>
      <c r="I6" s="78" t="n"/>
      <c r="J6" s="78" t="n"/>
      <c r="K6" s="31" t="n"/>
      <c r="L6" s="78" t="n"/>
      <c r="M6" s="78" t="n"/>
      <c r="N6" s="31" t="n"/>
      <c r="O6" s="31" t="n"/>
      <c r="P6" s="31" t="n"/>
      <c r="Q6" s="32" t="n"/>
    </row>
    <row r="7" ht="15" customFormat="1" customHeight="1" s="30">
      <c r="A7" s="86" t="inlineStr">
        <is>
          <t>Round 2</t>
        </is>
      </c>
      <c r="B7" s="85">
        <f>COUNTIF($F10:$F997,B5)</f>
        <v/>
      </c>
      <c r="C7" s="85">
        <f>COUNTIF($F10:$F997,C5)</f>
        <v/>
      </c>
      <c r="D7" s="85">
        <f>COUNTIF($F10:$F997,D5)</f>
        <v/>
      </c>
      <c r="E7" s="91">
        <f>COUNTIF($F10:$F997,E5)</f>
        <v/>
      </c>
      <c r="F7" s="78" t="n"/>
      <c r="G7" s="78" t="n"/>
      <c r="H7" s="31" t="n"/>
      <c r="I7" s="78" t="n"/>
      <c r="J7" s="78" t="n"/>
      <c r="K7" s="31" t="n"/>
      <c r="L7" s="78" t="n"/>
      <c r="M7" s="78" t="n"/>
      <c r="N7" s="31" t="n"/>
      <c r="O7" s="31" t="n"/>
      <c r="P7" s="31" t="n"/>
      <c r="Q7" s="32" t="n"/>
    </row>
    <row r="8" ht="15" customFormat="1" customHeight="1" s="30" thickBot="1">
      <c r="A8" s="88" t="inlineStr">
        <is>
          <t>Round 3</t>
        </is>
      </c>
      <c r="B8" s="89">
        <f>COUNTIF($F10:$F997,B5)</f>
        <v/>
      </c>
      <c r="C8" s="89">
        <f>COUNTIF($F10:$F997,C5)</f>
        <v/>
      </c>
      <c r="D8" s="89">
        <f>COUNTIF($F10:$F997,D5)</f>
        <v/>
      </c>
      <c r="E8" s="90">
        <f>COUNTIF($F10:$F997,E5)</f>
        <v/>
      </c>
      <c r="F8" s="78" t="n"/>
      <c r="G8" s="78" t="n"/>
      <c r="H8" s="31" t="n"/>
      <c r="I8" s="78" t="n"/>
      <c r="J8" s="78" t="n"/>
      <c r="K8" s="31" t="n"/>
      <c r="L8" s="78" t="n"/>
      <c r="M8" s="78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151" t="inlineStr">
        <is>
          <t>Scenario A — Login with valid credentials</t>
        </is>
      </c>
      <c r="B10" s="152" t="n"/>
      <c r="C10" s="152" t="n"/>
      <c r="D10" s="152" t="n"/>
      <c r="E10" s="152" t="n"/>
      <c r="F10" s="152" t="n"/>
      <c r="G10" s="152" t="n"/>
      <c r="H10" s="152" t="n"/>
      <c r="I10" s="152" t="n"/>
      <c r="J10" s="152" t="n"/>
      <c r="K10" s="152" t="n"/>
      <c r="L10" s="152" t="n"/>
      <c r="M10" s="152" t="n"/>
      <c r="N10" s="152" t="n"/>
      <c r="O10" s="153" t="n"/>
      <c r="P10" s="154" t="n"/>
      <c r="Q10" s="155" t="n"/>
      <c r="R10" s="154" t="n"/>
    </row>
    <row r="11" ht="15.75" customFormat="1" customHeight="1" s="30">
      <c r="A11" s="156" t="inlineStr">
        <is>
          <t>AUTH-01</t>
        </is>
      </c>
      <c r="B11" s="157" t="inlineStr">
        <is>
          <t>Login with valid Staff (Manager)</t>
        </is>
      </c>
      <c r="C11" s="157" t="inlineStr">
        <is>
          <t>1. Navigate to /login
2. Enter valid Manager username+password
3. Click Login</t>
        </is>
      </c>
      <c r="D11" s="157" t="inlineStr">
        <is>
          <t>JWT token issued. Redirected to /dashboard. Manager sidebar rendered.</t>
        </is>
      </c>
      <c r="E11" s="157" t="inlineStr">
        <is>
          <t>Active Manager account in DB</t>
        </is>
      </c>
      <c r="F11" s="158" t="inlineStr">
        <is>
          <t>Passed</t>
        </is>
      </c>
      <c r="G11" s="157" t="inlineStr">
        <is>
          <t>07/04/2026</t>
        </is>
      </c>
      <c r="H11" s="157" t="inlineStr">
        <is>
          <t>Team</t>
        </is>
      </c>
      <c r="I11" s="158" t="inlineStr">
        <is>
          <t>Passed</t>
        </is>
      </c>
      <c r="J11" s="157" t="inlineStr">
        <is>
          <t>07/04/2026</t>
        </is>
      </c>
      <c r="K11" s="157" t="inlineStr">
        <is>
          <t>Team</t>
        </is>
      </c>
      <c r="L11" s="158" t="inlineStr">
        <is>
          <t>Passed</t>
        </is>
      </c>
      <c r="M11" s="157" t="inlineStr">
        <is>
          <t>07/04/2026</t>
        </is>
      </c>
      <c r="N11" s="157" t="inlineStr">
        <is>
          <t>Team</t>
        </is>
      </c>
      <c r="O11" s="159" t="n"/>
      <c r="P11" s="154" t="n"/>
      <c r="Q11" s="160" t="n"/>
      <c r="R11" s="154" t="n"/>
    </row>
    <row r="12" outlineLevel="1" ht="30" customFormat="1" customHeight="1" s="44">
      <c r="A12" s="156" t="inlineStr">
        <is>
          <t>AUTH-02</t>
        </is>
      </c>
      <c r="B12" s="157" t="inlineStr">
        <is>
          <t>Login with valid Resident account</t>
        </is>
      </c>
      <c r="C12" s="157" t="inlineStr">
        <is>
          <t>1. Navigate to /login
2. Enter valid Resident credentials
3. Click Login</t>
        </is>
      </c>
      <c r="D12" s="161" t="inlineStr">
        <is>
          <t>JWT token issued. Redirected to /resident. Resident portal displayed.</t>
        </is>
      </c>
      <c r="E12" s="161" t="inlineStr">
        <is>
          <t>Active Resident account in DB</t>
        </is>
      </c>
      <c r="F12" s="158" t="inlineStr">
        <is>
          <t>Passed</t>
        </is>
      </c>
      <c r="G12" s="157" t="inlineStr">
        <is>
          <t>07/04/2026</t>
        </is>
      </c>
      <c r="H12" s="157" t="inlineStr">
        <is>
          <t>Team</t>
        </is>
      </c>
      <c r="I12" s="158" t="inlineStr">
        <is>
          <t>Passed</t>
        </is>
      </c>
      <c r="J12" s="157" t="inlineStr">
        <is>
          <t>07/04/2026</t>
        </is>
      </c>
      <c r="K12" s="157" t="inlineStr">
        <is>
          <t>Team</t>
        </is>
      </c>
      <c r="L12" s="158" t="inlineStr">
        <is>
          <t>Passed</t>
        </is>
      </c>
      <c r="M12" s="157" t="inlineStr">
        <is>
          <t>07/04/2026</t>
        </is>
      </c>
      <c r="N12" s="157" t="inlineStr">
        <is>
          <t>Team</t>
        </is>
      </c>
      <c r="O12" s="162" t="n"/>
      <c r="P12" s="154" t="n"/>
      <c r="Q12" s="163" t="n"/>
      <c r="R12" s="154" t="n"/>
    </row>
    <row r="13" outlineLevel="1" ht="26.4" customHeight="1">
      <c r="A13" s="156" t="inlineStr">
        <is>
          <t>AUTH-03</t>
        </is>
      </c>
      <c r="B13" s="157" t="inlineStr">
        <is>
          <t>Login with Admin role — all menus visible</t>
        </is>
      </c>
      <c r="C13" s="157" t="inlineStr">
        <is>
          <t>1. Login as Admin
2. Check sidebar</t>
        </is>
      </c>
      <c r="D13" s="161" t="inlineStr">
        <is>
          <t>All staff menu items visible (Dashboard, Staff, Resident, Apartments, Invoices, Vehicles, Notifications, Service Requests).</t>
        </is>
      </c>
      <c r="E13" s="161" t="inlineStr">
        <is>
          <t>Active Admin account</t>
        </is>
      </c>
      <c r="F13" s="158" t="inlineStr">
        <is>
          <t>Passed</t>
        </is>
      </c>
      <c r="G13" s="157" t="inlineStr">
        <is>
          <t>07/04/2026</t>
        </is>
      </c>
      <c r="H13" s="157" t="inlineStr">
        <is>
          <t>Team</t>
        </is>
      </c>
      <c r="I13" s="158" t="inlineStr">
        <is>
          <t>Passed</t>
        </is>
      </c>
      <c r="J13" s="157" t="inlineStr">
        <is>
          <t>07/04/2026</t>
        </is>
      </c>
      <c r="K13" s="157" t="inlineStr">
        <is>
          <t>Team</t>
        </is>
      </c>
      <c r="L13" s="158" t="inlineStr">
        <is>
          <t>Passed</t>
        </is>
      </c>
      <c r="M13" s="157" t="inlineStr">
        <is>
          <t>07/04/2026</t>
        </is>
      </c>
      <c r="N13" s="157" t="inlineStr">
        <is>
          <t>Team</t>
        </is>
      </c>
      <c r="O13" s="162" t="n"/>
      <c r="P13" s="154" t="n"/>
      <c r="Q13" s="163" t="n"/>
      <c r="R13" s="154" t="n"/>
    </row>
    <row r="14" ht="15.75" customFormat="1" customHeight="1" s="30">
      <c r="A14" s="151" t="inlineStr">
        <is>
          <t>Scenario B — Login failures</t>
        </is>
      </c>
      <c r="B14" s="164" t="n"/>
      <c r="C14" s="164" t="n"/>
      <c r="D14" s="164" t="n"/>
      <c r="E14" s="164" t="n"/>
      <c r="F14" s="164" t="n"/>
      <c r="G14" s="164" t="n"/>
      <c r="H14" s="164" t="n"/>
      <c r="I14" s="164" t="n"/>
      <c r="J14" s="164" t="n"/>
      <c r="K14" s="164" t="n"/>
      <c r="L14" s="164" t="n"/>
      <c r="M14" s="164" t="n"/>
      <c r="N14" s="164" t="n"/>
      <c r="O14" s="165" t="n"/>
      <c r="P14" s="154" t="n"/>
      <c r="Q14" s="160" t="n"/>
      <c r="R14" s="154" t="n"/>
    </row>
    <row r="15" outlineLevel="1" ht="39.6" customHeight="1">
      <c r="A15" s="156" t="inlineStr">
        <is>
          <t>AUTH-04</t>
        </is>
      </c>
      <c r="B15" s="157" t="inlineStr">
        <is>
          <t>Wrong password</t>
        </is>
      </c>
      <c r="C15" s="157" t="inlineStr">
        <is>
          <t>1. Enter valid username with incorrect password
2. Click Login</t>
        </is>
      </c>
      <c r="D15" s="157" t="inlineStr">
        <is>
          <t>Login fails. Error message shown. No JWT issued.</t>
        </is>
      </c>
      <c r="E15" s="161" t="inlineStr">
        <is>
          <t>Valid account exists</t>
        </is>
      </c>
      <c r="F15" s="158" t="inlineStr">
        <is>
          <t>Passed</t>
        </is>
      </c>
      <c r="G15" s="157" t="inlineStr">
        <is>
          <t>07/04/2026</t>
        </is>
      </c>
      <c r="H15" s="157" t="inlineStr">
        <is>
          <t>Team</t>
        </is>
      </c>
      <c r="I15" s="158" t="inlineStr">
        <is>
          <t>Passed</t>
        </is>
      </c>
      <c r="J15" s="157" t="inlineStr">
        <is>
          <t>07/04/2026</t>
        </is>
      </c>
      <c r="K15" s="157" t="inlineStr">
        <is>
          <t>Team</t>
        </is>
      </c>
      <c r="L15" s="158" t="inlineStr">
        <is>
          <t>Passed</t>
        </is>
      </c>
      <c r="M15" s="157" t="inlineStr">
        <is>
          <t>07/04/2026</t>
        </is>
      </c>
      <c r="N15" s="157" t="inlineStr">
        <is>
          <t>Team</t>
        </is>
      </c>
      <c r="O15" s="162" t="n"/>
      <c r="P15" s="154" t="n"/>
      <c r="Q15" s="163" t="n"/>
      <c r="R15" s="154" t="n"/>
    </row>
    <row r="16" outlineLevel="1" ht="39.6" customHeight="1">
      <c r="A16" s="156" t="inlineStr">
        <is>
          <t>AUTH-05</t>
        </is>
      </c>
      <c r="B16" s="157" t="inlineStr">
        <is>
          <t>Non-existent username</t>
        </is>
      </c>
      <c r="C16" s="157" t="inlineStr">
        <is>
          <t>1. Enter username that does not exist
2. Click Login</t>
        </is>
      </c>
      <c r="D16" s="157" t="inlineStr">
        <is>
          <t>Login fails. "Invalid credentials" message shown.</t>
        </is>
      </c>
      <c r="E16" s="161" t="inlineStr">
        <is>
          <t>Username not in DB</t>
        </is>
      </c>
      <c r="F16" s="158" t="inlineStr">
        <is>
          <t>Passed</t>
        </is>
      </c>
      <c r="G16" s="157" t="inlineStr">
        <is>
          <t>07/04/2026</t>
        </is>
      </c>
      <c r="H16" s="157" t="inlineStr">
        <is>
          <t>Team</t>
        </is>
      </c>
      <c r="I16" s="158" t="inlineStr">
        <is>
          <t>Passed</t>
        </is>
      </c>
      <c r="J16" s="157" t="inlineStr">
        <is>
          <t>07/04/2026</t>
        </is>
      </c>
      <c r="K16" s="157" t="inlineStr">
        <is>
          <t>Team</t>
        </is>
      </c>
      <c r="L16" s="158" t="inlineStr">
        <is>
          <t>Passed</t>
        </is>
      </c>
      <c r="M16" s="157" t="inlineStr">
        <is>
          <t>07/04/2026</t>
        </is>
      </c>
      <c r="N16" s="157" t="inlineStr">
        <is>
          <t>Team</t>
        </is>
      </c>
      <c r="O16" s="166" t="n"/>
      <c r="P16" s="154" t="n"/>
      <c r="Q16" s="154" t="n"/>
      <c r="R16" s="154" t="n"/>
    </row>
    <row r="17" ht="15.75" customFormat="1" customHeight="1" s="30">
      <c r="A17" s="156" t="inlineStr">
        <is>
          <t>AUTH-06</t>
        </is>
      </c>
      <c r="B17" s="157" t="inlineStr">
        <is>
          <t>PENDING resident cannot login</t>
        </is>
      </c>
      <c r="C17" s="157" t="inlineStr">
        <is>
          <t>1. Enter credentials of PENDING resident
2. Click Login</t>
        </is>
      </c>
      <c r="D17" s="157" t="inlineStr">
        <is>
          <t>Login fails. Message indicates account pending approval.</t>
        </is>
      </c>
      <c r="E17" s="157" t="inlineStr">
        <is>
          <t>PENDING resident account</t>
        </is>
      </c>
      <c r="F17" s="158" t="inlineStr">
        <is>
          <t>Passed</t>
        </is>
      </c>
      <c r="G17" s="157" t="inlineStr">
        <is>
          <t>07/04/2026</t>
        </is>
      </c>
      <c r="H17" s="157" t="inlineStr">
        <is>
          <t>Team</t>
        </is>
      </c>
      <c r="I17" s="158" t="inlineStr">
        <is>
          <t>Passed</t>
        </is>
      </c>
      <c r="J17" s="157" t="inlineStr">
        <is>
          <t>07/04/2026</t>
        </is>
      </c>
      <c r="K17" s="157" t="inlineStr">
        <is>
          <t>Team</t>
        </is>
      </c>
      <c r="L17" s="158" t="inlineStr">
        <is>
          <t>Passed</t>
        </is>
      </c>
      <c r="M17" s="157" t="inlineStr">
        <is>
          <t>07/04/2026</t>
        </is>
      </c>
      <c r="N17" s="157" t="inlineStr">
        <is>
          <t>Team</t>
        </is>
      </c>
      <c r="O17" s="165" t="n"/>
      <c r="P17" s="154" t="n"/>
      <c r="Q17" s="160" t="n"/>
      <c r="R17" s="154" t="n"/>
    </row>
    <row r="18" outlineLevel="1" ht="56.4" customHeight="1">
      <c r="A18" s="156" t="inlineStr">
        <is>
          <t>AUTH-07</t>
        </is>
      </c>
      <c r="B18" s="157" t="inlineStr">
        <is>
          <t>INACTIVE resident cannot login</t>
        </is>
      </c>
      <c r="C18" s="157" t="inlineStr">
        <is>
          <t>1. Enter credentials of INACTIVE resident
2. Click Login</t>
        </is>
      </c>
      <c r="D18" s="157" t="inlineStr">
        <is>
          <t>Login fails with 403 error.</t>
        </is>
      </c>
      <c r="E18" s="157" t="inlineStr">
        <is>
          <t>INACTIVE resident account</t>
        </is>
      </c>
      <c r="F18" s="158" t="inlineStr">
        <is>
          <t>Passed</t>
        </is>
      </c>
      <c r="G18" s="157" t="inlineStr">
        <is>
          <t>07/04/2026</t>
        </is>
      </c>
      <c r="H18" s="157" t="inlineStr">
        <is>
          <t>Team</t>
        </is>
      </c>
      <c r="I18" s="158" t="inlineStr">
        <is>
          <t>Passed</t>
        </is>
      </c>
      <c r="J18" s="157" t="inlineStr">
        <is>
          <t>07/04/2026</t>
        </is>
      </c>
      <c r="K18" s="157" t="inlineStr">
        <is>
          <t>Team</t>
        </is>
      </c>
      <c r="L18" s="158" t="inlineStr">
        <is>
          <t>Passed</t>
        </is>
      </c>
      <c r="M18" s="157" t="inlineStr">
        <is>
          <t>07/04/2026</t>
        </is>
      </c>
      <c r="N18" s="157" t="inlineStr">
        <is>
          <t>Team</t>
        </is>
      </c>
      <c r="O18" s="162" t="n"/>
      <c r="P18" s="154" t="n"/>
      <c r="Q18" s="163" t="n"/>
      <c r="R18" s="154" t="n"/>
    </row>
    <row r="19" outlineLevel="1" ht="42.6" customHeight="1">
      <c r="A19" s="151" t="inlineStr">
        <is>
          <t>Scenario C — Register new resident (UC01)</t>
        </is>
      </c>
      <c r="B19" s="167" t="n"/>
      <c r="C19" s="167" t="n"/>
      <c r="D19" s="167" t="n"/>
      <c r="E19" s="168" t="n"/>
      <c r="F19" s="167" t="n"/>
      <c r="G19" s="167" t="n"/>
      <c r="H19" s="167" t="n"/>
      <c r="I19" s="167" t="n"/>
      <c r="J19" s="167" t="n"/>
      <c r="K19" s="167" t="n"/>
      <c r="L19" s="167" t="n"/>
      <c r="M19" s="167" t="n"/>
      <c r="N19" s="167" t="n"/>
      <c r="O19" s="162" t="n"/>
      <c r="P19" s="154" t="n"/>
      <c r="Q19" s="163" t="n"/>
      <c r="R19" s="154" t="n"/>
    </row>
    <row r="20" ht="15.75" customFormat="1" customHeight="1" s="30">
      <c r="A20" s="156" t="inlineStr">
        <is>
          <t>AUTH-08</t>
        </is>
      </c>
      <c r="B20" s="157" t="inlineStr">
        <is>
          <t>Successful resident registration</t>
        </is>
      </c>
      <c r="C20" s="157" t="inlineStr">
        <is>
          <t>1. Navigate to /register
2. Fill all required fields
3. Click Register</t>
        </is>
      </c>
      <c r="D20" s="157" t="inlineStr">
        <is>
          <t>Account created (PENDING). Success message. Visible in staff Resident Management.</t>
        </is>
      </c>
      <c r="E20" s="157" t="inlineStr">
        <is>
          <t>No existing account with same username/phone</t>
        </is>
      </c>
      <c r="F20" s="158" t="inlineStr">
        <is>
          <t>Passed</t>
        </is>
      </c>
      <c r="G20" s="157" t="inlineStr">
        <is>
          <t>07/04/2026</t>
        </is>
      </c>
      <c r="H20" s="157" t="inlineStr">
        <is>
          <t>Team</t>
        </is>
      </c>
      <c r="I20" s="158" t="inlineStr">
        <is>
          <t>Passed</t>
        </is>
      </c>
      <c r="J20" s="157" t="inlineStr">
        <is>
          <t>07/04/2026</t>
        </is>
      </c>
      <c r="K20" s="157" t="inlineStr">
        <is>
          <t>Team</t>
        </is>
      </c>
      <c r="L20" s="158" t="inlineStr">
        <is>
          <t>Passed</t>
        </is>
      </c>
      <c r="M20" s="157" t="inlineStr">
        <is>
          <t>07/04/2026</t>
        </is>
      </c>
      <c r="N20" s="157" t="inlineStr">
        <is>
          <t>Team</t>
        </is>
      </c>
      <c r="O20" s="165" t="n"/>
      <c r="P20" s="154" t="n"/>
      <c r="Q20" s="160" t="n"/>
      <c r="R20" s="154" t="n"/>
    </row>
    <row r="21" outlineLevel="1" ht="46.2" customHeight="1">
      <c r="A21" s="156" t="inlineStr">
        <is>
          <t>AUTH-09</t>
        </is>
      </c>
      <c r="B21" s="157" t="inlineStr">
        <is>
          <t>Register with duplicate username</t>
        </is>
      </c>
      <c r="C21" s="157" t="inlineStr">
        <is>
          <t>1. Navigate to /register
2. Enter existing username
3. Register</t>
        </is>
      </c>
      <c r="D21" s="161" t="inlineStr">
        <is>
          <t>Error: duplicate username. Account not created.</t>
        </is>
      </c>
      <c r="E21" s="161" t="inlineStr">
        <is>
          <t>Account with same username exists</t>
        </is>
      </c>
      <c r="F21" s="158" t="inlineStr">
        <is>
          <t>Passed</t>
        </is>
      </c>
      <c r="G21" s="157" t="inlineStr">
        <is>
          <t>07/04/2026</t>
        </is>
      </c>
      <c r="H21" s="157" t="inlineStr">
        <is>
          <t>Team</t>
        </is>
      </c>
      <c r="I21" s="158" t="inlineStr">
        <is>
          <t>Passed</t>
        </is>
      </c>
      <c r="J21" s="157" t="inlineStr">
        <is>
          <t>07/04/2026</t>
        </is>
      </c>
      <c r="K21" s="157" t="inlineStr">
        <is>
          <t>Team</t>
        </is>
      </c>
      <c r="L21" s="158" t="inlineStr">
        <is>
          <t>Passed</t>
        </is>
      </c>
      <c r="M21" s="157" t="inlineStr">
        <is>
          <t>07/04/2026</t>
        </is>
      </c>
      <c r="N21" s="157" t="inlineStr">
        <is>
          <t>Team</t>
        </is>
      </c>
      <c r="O21" s="162" t="n"/>
      <c r="P21" s="154" t="n"/>
      <c r="Q21" s="163" t="n"/>
      <c r="R21" s="154" t="n"/>
    </row>
    <row r="22">
      <c r="A22" s="169" t="inlineStr">
        <is>
          <t>AUTH-10</t>
        </is>
      </c>
      <c r="B22" s="170" t="inlineStr">
        <is>
          <t>Register with missing required fields</t>
        </is>
      </c>
      <c r="C22" s="170" t="inlineStr">
        <is>
          <t>1. Leave title/phone/password blank
2. Click Register</t>
        </is>
      </c>
      <c r="D22" s="170" t="inlineStr">
        <is>
          <t>Validation errors shown per field. Not submitted.</t>
        </is>
      </c>
      <c r="E22" s="170" t="inlineStr">
        <is>
          <t>None</t>
        </is>
      </c>
      <c r="F22" s="171" t="inlineStr">
        <is>
          <t>Passed</t>
        </is>
      </c>
      <c r="G22" s="170" t="inlineStr">
        <is>
          <t>07/04/2026</t>
        </is>
      </c>
      <c r="H22" s="170" t="inlineStr">
        <is>
          <t>Team</t>
        </is>
      </c>
      <c r="I22" s="171" t="inlineStr">
        <is>
          <t>Passed</t>
        </is>
      </c>
      <c r="J22" s="170" t="inlineStr">
        <is>
          <t>07/04/2026</t>
        </is>
      </c>
      <c r="K22" s="170" t="inlineStr">
        <is>
          <t>Team</t>
        </is>
      </c>
      <c r="L22" s="171" t="inlineStr">
        <is>
          <t>Passed</t>
        </is>
      </c>
      <c r="M22" s="170" t="inlineStr">
        <is>
          <t>07/04/2026</t>
        </is>
      </c>
      <c r="N22" s="170" t="inlineStr">
        <is>
          <t>Team</t>
        </is>
      </c>
    </row>
    <row r="23">
      <c r="A23" s="172" t="inlineStr">
        <is>
          <t>Scenario D — Forgot/Reset Password (UC04)</t>
        </is>
      </c>
      <c r="B23" s="173" t="n"/>
      <c r="C23" s="173" t="n"/>
      <c r="D23" s="173" t="n"/>
      <c r="E23" s="173" t="n"/>
      <c r="F23" s="173" t="n"/>
      <c r="G23" s="173" t="n"/>
      <c r="H23" s="173" t="n"/>
      <c r="I23" s="173" t="n"/>
      <c r="J23" s="173" t="n"/>
      <c r="K23" s="173" t="n"/>
      <c r="L23" s="173" t="n"/>
      <c r="M23" s="173" t="n"/>
      <c r="N23" s="173" t="n"/>
    </row>
    <row r="24">
      <c r="A24" s="169" t="inlineStr">
        <is>
          <t>AUTH-11</t>
        </is>
      </c>
      <c r="B24" s="170" t="inlineStr">
        <is>
          <t>Request password reset with valid email</t>
        </is>
      </c>
      <c r="C24" s="170" t="inlineStr">
        <is>
          <t>1. Navigate to /forgot-password
2. Enter registered email
3. Submit</t>
        </is>
      </c>
      <c r="D24" s="170" t="inlineStr">
        <is>
          <t>Success message. Reset email sent with valid link.</t>
        </is>
      </c>
      <c r="E24" s="170" t="inlineStr">
        <is>
          <t>Account with that email exists</t>
        </is>
      </c>
      <c r="F24" s="171" t="inlineStr">
        <is>
          <t>Passed</t>
        </is>
      </c>
      <c r="G24" s="170" t="inlineStr">
        <is>
          <t>07/04/2026</t>
        </is>
      </c>
      <c r="H24" s="170" t="inlineStr">
        <is>
          <t>Team</t>
        </is>
      </c>
      <c r="I24" s="171" t="inlineStr">
        <is>
          <t>Passed</t>
        </is>
      </c>
      <c r="J24" s="170" t="inlineStr">
        <is>
          <t>07/04/2026</t>
        </is>
      </c>
      <c r="K24" s="170" t="inlineStr">
        <is>
          <t>Team</t>
        </is>
      </c>
      <c r="L24" s="171" t="inlineStr">
        <is>
          <t>Passed</t>
        </is>
      </c>
      <c r="M24" s="170" t="inlineStr">
        <is>
          <t>07/04/2026</t>
        </is>
      </c>
      <c r="N24" s="170" t="inlineStr">
        <is>
          <t>Team</t>
        </is>
      </c>
    </row>
    <row r="25">
      <c r="A25" s="169" t="inlineStr">
        <is>
          <t>AUTH-12</t>
        </is>
      </c>
      <c r="B25" s="170" t="inlineStr">
        <is>
          <t>Reset password with valid token</t>
        </is>
      </c>
      <c r="C25" s="170" t="inlineStr">
        <is>
          <t>1. Click link in reset email
2. Enter new password
3. Submit</t>
        </is>
      </c>
      <c r="D25" s="170" t="inlineStr">
        <is>
          <t>Password updated. Can login with new password.</t>
        </is>
      </c>
      <c r="E25" s="170" t="inlineStr">
        <is>
          <t>Valid (non-expired) reset token</t>
        </is>
      </c>
      <c r="F25" s="171" t="inlineStr">
        <is>
          <t>Passed</t>
        </is>
      </c>
      <c r="G25" s="170" t="inlineStr">
        <is>
          <t>07/04/2026</t>
        </is>
      </c>
      <c r="H25" s="170" t="inlineStr">
        <is>
          <t>Team</t>
        </is>
      </c>
      <c r="I25" s="171" t="inlineStr">
        <is>
          <t>Passed</t>
        </is>
      </c>
      <c r="J25" s="170" t="inlineStr">
        <is>
          <t>07/04/2026</t>
        </is>
      </c>
      <c r="K25" s="170" t="inlineStr">
        <is>
          <t>Team</t>
        </is>
      </c>
      <c r="L25" s="171" t="inlineStr">
        <is>
          <t>Passed</t>
        </is>
      </c>
      <c r="M25" s="170" t="inlineStr">
        <is>
          <t>07/04/2026</t>
        </is>
      </c>
      <c r="N25" s="170" t="inlineStr">
        <is>
          <t>Team</t>
        </is>
      </c>
    </row>
    <row r="26">
      <c r="A26" s="169" t="inlineStr">
        <is>
          <t>AUTH-13</t>
        </is>
      </c>
      <c r="B26" s="170" t="inlineStr">
        <is>
          <t>Reset password with expired token (&gt;15 min)</t>
        </is>
      </c>
      <c r="C26" s="170" t="inlineStr">
        <is>
          <t>1. Wait &gt;15 minutes
2. Click old reset link
3. Try to submit</t>
        </is>
      </c>
      <c r="D26" s="170" t="inlineStr">
        <is>
          <t>Error: token expired. Prompted to request new link.</t>
        </is>
      </c>
      <c r="E26" s="170" t="inlineStr">
        <is>
          <t>Expired reset token</t>
        </is>
      </c>
      <c r="F26" s="171" t="inlineStr">
        <is>
          <t>Passed</t>
        </is>
      </c>
      <c r="G26" s="170" t="inlineStr">
        <is>
          <t>07/04/2026</t>
        </is>
      </c>
      <c r="H26" s="170" t="inlineStr">
        <is>
          <t>Team</t>
        </is>
      </c>
      <c r="I26" s="171" t="inlineStr">
        <is>
          <t>Passed</t>
        </is>
      </c>
      <c r="J26" s="170" t="inlineStr">
        <is>
          <t>07/04/2026</t>
        </is>
      </c>
      <c r="K26" s="170" t="inlineStr">
        <is>
          <t>Team</t>
        </is>
      </c>
      <c r="L26" s="171" t="inlineStr">
        <is>
          <t>Passed</t>
        </is>
      </c>
      <c r="M26" s="170" t="inlineStr">
        <is>
          <t>07/04/2026</t>
        </is>
      </c>
      <c r="N26" s="170" t="inlineStr">
        <is>
          <t>Team</t>
        </is>
      </c>
    </row>
    <row r="27">
      <c r="A27" s="169" t="inlineStr">
        <is>
          <t>AUTH-14</t>
        </is>
      </c>
      <c r="B27" s="170" t="inlineStr">
        <is>
          <t>Logout clears session</t>
        </is>
      </c>
      <c r="C27" s="170" t="inlineStr">
        <is>
          <t>1. Login as any user
2. Click Logout
3. Try to access /dashboard</t>
        </is>
      </c>
      <c r="D27" s="170" t="inlineStr">
        <is>
          <t>Token cleared. Redirected to /login.</t>
        </is>
      </c>
      <c r="E27" s="170" t="inlineStr">
        <is>
          <t>Active login session</t>
        </is>
      </c>
      <c r="F27" s="171" t="inlineStr">
        <is>
          <t>Passed</t>
        </is>
      </c>
      <c r="G27" s="170" t="inlineStr">
        <is>
          <t>07/04/2026</t>
        </is>
      </c>
      <c r="H27" s="170" t="inlineStr">
        <is>
          <t>Team</t>
        </is>
      </c>
      <c r="I27" s="171" t="inlineStr">
        <is>
          <t>Passed</t>
        </is>
      </c>
      <c r="J27" s="170" t="inlineStr">
        <is>
          <t>07/04/2026</t>
        </is>
      </c>
      <c r="K27" s="170" t="inlineStr">
        <is>
          <t>Team</t>
        </is>
      </c>
      <c r="L27" s="171" t="inlineStr">
        <is>
          <t>Passed</t>
        </is>
      </c>
      <c r="M27" s="170" t="inlineStr">
        <is>
          <t>07/04/2026</t>
        </is>
      </c>
      <c r="N27" s="170" t="inlineStr">
        <is>
          <t>Team</t>
        </is>
      </c>
    </row>
  </sheetData>
  <mergeCells count="3">
    <mergeCell ref="B3:E3"/>
    <mergeCell ref="B2:E2"/>
    <mergeCell ref="B4:E4"/>
  </mergeCells>
  <dataValidations count="2">
    <dataValidation sqref="F12:F13 F15:F16 F18:F19 F21 G2:G3 G9 G19 G21:G146 I12:I13 I15:I16 I18:I19 I21 J2:J3 J9 J19 J21:J146 L12:L13 L15:L16 L18:L19 L21 M2:M3 M9 M19 M21:M146" showDropDown="0" showInputMessage="0" showErrorMessage="1" allowBlank="1" type="list">
      <formula1>$R$2:$R$5</formula1>
      <formula2>0</formula2>
    </dataValidation>
    <dataValidation sqref="F10 I10 L10" showDropDown="0" showInputMessage="0" showErrorMessage="1" allowBlank="1"/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R22"/>
  <sheetViews>
    <sheetView zoomScale="85" zoomScaleNormal="85" workbookViewId="0">
      <pane ySplit="10" topLeftCell="A11" activePane="bottomLeft" state="frozen"/>
      <selection pane="bottomLeft" activeCell="B3" sqref="B3:E3"/>
    </sheetView>
  </sheetViews>
  <sheetFormatPr baseColWidth="8" defaultColWidth="9" defaultRowHeight="13.2" outlineLevelRow="1"/>
  <cols>
    <col width="12" customWidth="1" style="1" min="1" max="1"/>
    <col width="28" customWidth="1" style="1" min="2" max="2"/>
    <col width="32" customWidth="1" style="1" min="3" max="3"/>
    <col width="28" customWidth="1" style="1" min="4" max="4"/>
    <col width="22" customWidth="1" style="1" min="5" max="5"/>
    <col width="9" customWidth="1" style="1" min="6" max="6"/>
    <col outlineLevel="1" width="11" customWidth="1" style="1" min="7" max="7"/>
    <col outlineLevel="1" width="9" bestFit="1" customWidth="1" style="1" min="8" max="8"/>
    <col width="9" customWidth="1" style="1" min="9" max="9"/>
    <col outlineLevel="1" width="11" customWidth="1" style="1" min="10" max="10"/>
    <col outlineLevel="1" width="9" bestFit="1" customWidth="1" style="1" min="11" max="11"/>
    <col width="9" customWidth="1" style="1" min="12" max="12"/>
    <col outlineLevel="1" width="11" customWidth="1" style="1" min="13" max="13"/>
    <col outlineLevel="1" width="9" bestFit="1" customWidth="1" style="1" min="14" max="14"/>
    <col width="28.6640625" customWidth="1" style="1" min="15" max="15"/>
    <col width="10.109375" customWidth="1" style="1" min="16" max="16"/>
    <col width="8.109375" customWidth="1" style="28" min="17" max="17"/>
    <col hidden="1" width="7.6640625" customWidth="1" style="1" min="18" max="18"/>
    <col width="9" customWidth="1" style="1" min="19" max="16384"/>
  </cols>
  <sheetData>
    <row r="1" ht="13.8" customHeight="1" thickBot="1">
      <c r="B1" t="inlineStr">
        <is>
          <t>Workflow Dashboard</t>
        </is>
      </c>
    </row>
    <row r="2" ht="15" customFormat="1" customHeight="1" s="30">
      <c r="A2" s="92" t="inlineStr">
        <is>
          <t>Workflow</t>
        </is>
      </c>
      <c r="B2" s="127" t="inlineStr">
        <is>
          <t>UC05–UC08: Profile Management + Dashboard Overview</t>
        </is>
      </c>
      <c r="C2" s="147" t="n"/>
      <c r="D2" s="147" t="n"/>
      <c r="E2" s="148" t="n"/>
      <c r="F2" s="82" t="n"/>
      <c r="G2" s="76" t="n"/>
      <c r="H2" s="9" t="n"/>
      <c r="I2" s="82" t="n"/>
      <c r="J2" s="76" t="n"/>
      <c r="K2" s="9" t="n"/>
      <c r="L2" s="82" t="n"/>
      <c r="M2" s="76" t="n"/>
      <c r="N2" s="9" t="n"/>
      <c r="O2" s="9" t="n"/>
      <c r="P2" s="9" t="n"/>
      <c r="Q2" s="29" t="n"/>
      <c r="R2" s="30" t="inlineStr">
        <is>
          <t>Passed</t>
        </is>
      </c>
    </row>
    <row r="3" ht="26.4" customFormat="1" customHeight="1" s="30">
      <c r="A3" s="93" t="inlineStr">
        <is>
          <t>Test requirement</t>
        </is>
      </c>
      <c r="B3" s="129" t="inlineStr">
        <is>
          <t>Thấy được dashboard tổng ở cả staff và resident</t>
        </is>
      </c>
      <c r="C3" s="149" t="n"/>
      <c r="D3" s="149" t="n"/>
      <c r="E3" s="150" t="n"/>
      <c r="F3" s="82" t="n"/>
      <c r="G3" s="76" t="n"/>
      <c r="H3" s="9" t="n"/>
      <c r="I3" s="82" t="n"/>
      <c r="J3" s="76" t="n"/>
      <c r="K3" s="9" t="n"/>
      <c r="L3" s="82" t="n"/>
      <c r="M3" s="76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93" t="inlineStr">
        <is>
          <t>Number of TCs</t>
        </is>
      </c>
      <c r="B4" s="129">
        <f>COUNTA(A12:A994)</f>
        <v/>
      </c>
      <c r="C4" s="149" t="n"/>
      <c r="D4" s="149" t="n"/>
      <c r="E4" s="150" t="n"/>
      <c r="F4" s="82" t="n"/>
      <c r="G4" s="76" t="n"/>
      <c r="H4" s="9" t="n"/>
      <c r="I4" s="82" t="n"/>
      <c r="J4" s="76" t="n"/>
      <c r="K4" s="9" t="n"/>
      <c r="L4" s="82" t="n"/>
      <c r="M4" s="76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6" t="inlineStr">
        <is>
          <t>Testing Round</t>
        </is>
      </c>
      <c r="B5" s="84" t="inlineStr">
        <is>
          <t>Passed</t>
        </is>
      </c>
      <c r="C5" s="84" t="inlineStr">
        <is>
          <t>Failed</t>
        </is>
      </c>
      <c r="D5" s="84" t="inlineStr">
        <is>
          <t>Pending</t>
        </is>
      </c>
      <c r="E5" s="87" t="inlineStr">
        <is>
          <t>N/A</t>
        </is>
      </c>
      <c r="F5" s="77" t="n"/>
      <c r="G5" s="77" t="n"/>
      <c r="H5" s="31" t="n"/>
      <c r="I5" s="77" t="n"/>
      <c r="J5" s="77" t="n"/>
      <c r="K5" s="31" t="n"/>
      <c r="L5" s="77" t="n"/>
      <c r="M5" s="77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6" t="inlineStr">
        <is>
          <t>Round 1</t>
        </is>
      </c>
      <c r="B6" s="85">
        <f>COUNTIF($F10:$F992,B5)</f>
        <v/>
      </c>
      <c r="C6" s="85">
        <f>COUNTIF($F10:$F992,C5)</f>
        <v/>
      </c>
      <c r="D6" s="85">
        <f>COUNTIF($F10:$F992,D5)</f>
        <v/>
      </c>
      <c r="E6" s="91">
        <f>COUNTIF($F10:$F992,E5)</f>
        <v/>
      </c>
      <c r="F6" s="78" t="n"/>
      <c r="G6" s="78" t="n"/>
      <c r="H6" s="31" t="n"/>
      <c r="I6" s="78" t="n"/>
      <c r="J6" s="78" t="n"/>
      <c r="K6" s="31" t="n"/>
      <c r="L6" s="78" t="n"/>
      <c r="M6" s="78" t="n"/>
      <c r="N6" s="31" t="n"/>
      <c r="O6" s="31" t="n"/>
      <c r="P6" s="31" t="n"/>
      <c r="Q6" s="32" t="n"/>
    </row>
    <row r="7" ht="15" customFormat="1" customHeight="1" s="30">
      <c r="A7" s="86" t="inlineStr">
        <is>
          <t>Round 2</t>
        </is>
      </c>
      <c r="B7" s="85">
        <f>COUNTIF($F10:$F992,B5)</f>
        <v/>
      </c>
      <c r="C7" s="85">
        <f>COUNTIF($F10:$F992,C5)</f>
        <v/>
      </c>
      <c r="D7" s="85">
        <f>COUNTIF($F10:$F992,D5)</f>
        <v/>
      </c>
      <c r="E7" s="91">
        <f>COUNTIF($F10:$F992,E5)</f>
        <v/>
      </c>
      <c r="F7" s="78" t="n"/>
      <c r="G7" s="78" t="n"/>
      <c r="H7" s="31" t="n"/>
      <c r="I7" s="78" t="n"/>
      <c r="J7" s="78" t="n"/>
      <c r="K7" s="31" t="n"/>
      <c r="L7" s="78" t="n"/>
      <c r="M7" s="78" t="n"/>
      <c r="N7" s="31" t="n"/>
      <c r="O7" s="31" t="n"/>
      <c r="P7" s="31" t="n"/>
      <c r="Q7" s="32" t="n"/>
    </row>
    <row r="8" ht="15" customFormat="1" customHeight="1" s="30" thickBot="1">
      <c r="A8" s="88" t="inlineStr">
        <is>
          <t>Round 3</t>
        </is>
      </c>
      <c r="B8" s="89">
        <f>COUNTIF($F10:$F992,B5)</f>
        <v/>
      </c>
      <c r="C8" s="89">
        <f>COUNTIF($F10:$F992,C5)</f>
        <v/>
      </c>
      <c r="D8" s="89">
        <f>COUNTIF($F10:$F992,D5)</f>
        <v/>
      </c>
      <c r="E8" s="90">
        <f>COUNTIF($F10:$F992,E5)</f>
        <v/>
      </c>
      <c r="F8" s="78" t="n"/>
      <c r="G8" s="78" t="n"/>
      <c r="H8" s="31" t="n"/>
      <c r="I8" s="78" t="n"/>
      <c r="J8" s="78" t="n"/>
      <c r="K8" s="31" t="n"/>
      <c r="L8" s="78" t="n"/>
      <c r="M8" s="78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151" t="inlineStr">
        <is>
          <t>Scenario A — Staff Dashboard Overview (UC08)</t>
        </is>
      </c>
      <c r="B10" s="152" t="n"/>
      <c r="C10" s="152" t="n"/>
      <c r="D10" s="152" t="n"/>
      <c r="E10" s="152" t="n"/>
      <c r="F10" s="152" t="n"/>
      <c r="G10" s="152" t="n"/>
      <c r="H10" s="152" t="n"/>
      <c r="I10" s="152" t="n"/>
      <c r="J10" s="152" t="n"/>
      <c r="K10" s="152" t="n"/>
      <c r="L10" s="152" t="n"/>
      <c r="M10" s="152" t="n"/>
      <c r="N10" s="152" t="n"/>
      <c r="O10" s="153" t="n"/>
      <c r="P10" s="154" t="n"/>
      <c r="Q10" s="155" t="n"/>
      <c r="R10" s="154" t="n"/>
    </row>
    <row r="11" ht="15.75" customFormat="1" customHeight="1" s="30">
      <c r="A11" s="156" t="inlineStr">
        <is>
          <t>DASH-01</t>
        </is>
      </c>
      <c r="B11" s="157" t="inlineStr">
        <is>
          <t>Admin sees all stats on dashboard</t>
        </is>
      </c>
      <c r="C11" s="157" t="inlineStr">
        <is>
          <t>1. Login as Admin
2. Navigate to /dashboard</t>
        </is>
      </c>
      <c r="D11" s="157" t="inlineStr">
        <is>
          <t>Dashboard shows: total apartments, total residents, total staff, invoices by status (UNPAID/PAID/OVERDUE), pending service requests.</t>
        </is>
      </c>
      <c r="E11" s="157" t="inlineStr">
        <is>
          <t>Admin account + data in DB</t>
        </is>
      </c>
      <c r="F11" s="158" t="inlineStr">
        <is>
          <t>Passed</t>
        </is>
      </c>
      <c r="G11" s="157" t="inlineStr">
        <is>
          <t>07/04/2026</t>
        </is>
      </c>
      <c r="H11" s="157" t="inlineStr">
        <is>
          <t>Team</t>
        </is>
      </c>
      <c r="I11" s="158" t="inlineStr">
        <is>
          <t>Passed</t>
        </is>
      </c>
      <c r="J11" s="157" t="inlineStr">
        <is>
          <t>07/04/2026</t>
        </is>
      </c>
      <c r="K11" s="157" t="inlineStr">
        <is>
          <t>Team</t>
        </is>
      </c>
      <c r="L11" s="158" t="inlineStr">
        <is>
          <t>Passed</t>
        </is>
      </c>
      <c r="M11" s="157" t="inlineStr">
        <is>
          <t>07/04/2026</t>
        </is>
      </c>
      <c r="N11" s="157" t="inlineStr">
        <is>
          <t>Team</t>
        </is>
      </c>
      <c r="O11" s="159" t="n"/>
      <c r="P11" s="154" t="n"/>
      <c r="Q11" s="160" t="n"/>
      <c r="R11" s="154" t="n"/>
    </row>
    <row r="12" outlineLevel="1" ht="102" customFormat="1" customHeight="1" s="44">
      <c r="A12" s="156" t="inlineStr">
        <is>
          <t>DASH-02</t>
        </is>
      </c>
      <c r="B12" s="157" t="inlineStr">
        <is>
          <t>Manager dashboard matches Admin view</t>
        </is>
      </c>
      <c r="C12" s="157" t="inlineStr">
        <is>
          <t>1. Login as Manager
2. Navigate to /dashboard</t>
        </is>
      </c>
      <c r="D12" s="161" t="inlineStr">
        <is>
          <t>Same stats visible. Manager sidebar shown.</t>
        </is>
      </c>
      <c r="E12" s="161" t="inlineStr">
        <is>
          <t>Manager account</t>
        </is>
      </c>
      <c r="F12" s="158" t="inlineStr">
        <is>
          <t>Passed</t>
        </is>
      </c>
      <c r="G12" s="157" t="inlineStr">
        <is>
          <t>07/04/2026</t>
        </is>
      </c>
      <c r="H12" s="157" t="inlineStr">
        <is>
          <t>Team</t>
        </is>
      </c>
      <c r="I12" s="158" t="inlineStr">
        <is>
          <t>Passed</t>
        </is>
      </c>
      <c r="J12" s="157" t="inlineStr">
        <is>
          <t>07/04/2026</t>
        </is>
      </c>
      <c r="K12" s="157" t="inlineStr">
        <is>
          <t>Team</t>
        </is>
      </c>
      <c r="L12" s="158" t="inlineStr">
        <is>
          <t>Passed</t>
        </is>
      </c>
      <c r="M12" s="157" t="inlineStr">
        <is>
          <t>07/04/2026</t>
        </is>
      </c>
      <c r="N12" s="157" t="inlineStr">
        <is>
          <t>Team</t>
        </is>
      </c>
      <c r="O12" s="162" t="n"/>
      <c r="P12" s="154" t="n"/>
      <c r="Q12" s="163" t="n"/>
      <c r="R12" s="154" t="n"/>
    </row>
    <row r="13" outlineLevel="1" ht="104.4" customHeight="1">
      <c r="A13" s="156" t="inlineStr">
        <is>
          <t>DASH-03</t>
        </is>
      </c>
      <c r="B13" s="157" t="inlineStr">
        <is>
          <t>Accountant accesses dashboard</t>
        </is>
      </c>
      <c r="C13" s="157" t="inlineStr">
        <is>
          <t>1. Login as Accountant
2. Navigate to /dashboard</t>
        </is>
      </c>
      <c r="D13" s="161" t="inlineStr">
        <is>
          <t>Dashboard visible. Sidebar shows only: Dashboard, Buildings, Invoices, Notifications.</t>
        </is>
      </c>
      <c r="E13" s="161" t="inlineStr">
        <is>
          <t>Accountant account</t>
        </is>
      </c>
      <c r="F13" s="158" t="inlineStr">
        <is>
          <t>Passed</t>
        </is>
      </c>
      <c r="G13" s="157" t="inlineStr">
        <is>
          <t>07/04/2026</t>
        </is>
      </c>
      <c r="H13" s="157" t="inlineStr">
        <is>
          <t>Team</t>
        </is>
      </c>
      <c r="I13" s="158" t="inlineStr">
        <is>
          <t>Passed</t>
        </is>
      </c>
      <c r="J13" s="157" t="inlineStr">
        <is>
          <t>07/04/2026</t>
        </is>
      </c>
      <c r="K13" s="157" t="inlineStr">
        <is>
          <t>Team</t>
        </is>
      </c>
      <c r="L13" s="158" t="inlineStr">
        <is>
          <t>Passed</t>
        </is>
      </c>
      <c r="M13" s="157" t="inlineStr">
        <is>
          <t>07/04/2026</t>
        </is>
      </c>
      <c r="N13" s="157" t="inlineStr">
        <is>
          <t>Team</t>
        </is>
      </c>
      <c r="O13" s="162" t="n"/>
      <c r="P13" s="154" t="n"/>
      <c r="Q13" s="163" t="n"/>
      <c r="R13" s="154" t="n"/>
    </row>
    <row r="14">
      <c r="A14" s="169" t="inlineStr">
        <is>
          <t>DASH-04</t>
        </is>
      </c>
      <c r="B14" s="170" t="inlineStr">
        <is>
          <t>Technician access is restricted</t>
        </is>
      </c>
      <c r="C14" s="170" t="inlineStr">
        <is>
          <t>1. Login as Technician
2. Navigate to /dashboard/apartments (forbidden)</t>
        </is>
      </c>
      <c r="D14" s="170" t="inlineStr">
        <is>
          <t>Redirected to /dashboard/service-requests (Technician default). Cannot access apartments page.</t>
        </is>
      </c>
      <c r="E14" s="170" t="inlineStr">
        <is>
          <t>Technician account</t>
        </is>
      </c>
      <c r="F14" s="171" t="inlineStr">
        <is>
          <t>Passed</t>
        </is>
      </c>
      <c r="G14" s="170" t="inlineStr">
        <is>
          <t>07/04/2026</t>
        </is>
      </c>
      <c r="H14" s="170" t="inlineStr">
        <is>
          <t>Team</t>
        </is>
      </c>
      <c r="I14" s="171" t="inlineStr">
        <is>
          <t>Passed</t>
        </is>
      </c>
      <c r="J14" s="170" t="inlineStr">
        <is>
          <t>07/04/2026</t>
        </is>
      </c>
      <c r="K14" s="170" t="inlineStr">
        <is>
          <t>Team</t>
        </is>
      </c>
      <c r="L14" s="171" t="inlineStr">
        <is>
          <t>Passed</t>
        </is>
      </c>
      <c r="M14" s="170" t="inlineStr">
        <is>
          <t>07/04/2026</t>
        </is>
      </c>
      <c r="N14" s="170" t="inlineStr">
        <is>
          <t>Team</t>
        </is>
      </c>
    </row>
    <row r="15">
      <c r="A15" s="172" t="inlineStr">
        <is>
          <t>Scenario B — Resident Home Dashboard</t>
        </is>
      </c>
      <c r="B15" s="173" t="n"/>
      <c r="C15" s="173" t="n"/>
      <c r="D15" s="173" t="n"/>
      <c r="E15" s="173" t="n"/>
      <c r="F15" s="173" t="n"/>
      <c r="G15" s="173" t="n"/>
      <c r="H15" s="173" t="n"/>
      <c r="I15" s="173" t="n"/>
      <c r="J15" s="173" t="n"/>
      <c r="K15" s="173" t="n"/>
      <c r="L15" s="173" t="n"/>
      <c r="M15" s="173" t="n"/>
      <c r="N15" s="173" t="n"/>
    </row>
    <row r="16">
      <c r="A16" s="169" t="inlineStr">
        <is>
          <t>DASH-05</t>
        </is>
      </c>
      <c r="B16" s="170" t="inlineStr">
        <is>
          <t>Resident home shows correct stats</t>
        </is>
      </c>
      <c r="C16" s="170" t="inlineStr">
        <is>
          <t>1. Login as Active Resident with apartment
2. Navigate to /resident</t>
        </is>
      </c>
      <c r="D16" s="170" t="inlineStr">
        <is>
          <t>Shows: unpaid invoice count, pending request count, vehicle count, unread notification badge.</t>
        </is>
      </c>
      <c r="E16" s="170" t="inlineStr">
        <is>
          <t>Active resident with apartment, invoices, requests</t>
        </is>
      </c>
      <c r="F16" s="171" t="inlineStr">
        <is>
          <t>Passed</t>
        </is>
      </c>
      <c r="G16" s="170" t="inlineStr">
        <is>
          <t>07/04/2026</t>
        </is>
      </c>
      <c r="H16" s="170" t="inlineStr">
        <is>
          <t>Team</t>
        </is>
      </c>
      <c r="I16" s="171" t="inlineStr">
        <is>
          <t>Passed</t>
        </is>
      </c>
      <c r="J16" s="170" t="inlineStr">
        <is>
          <t>07/04/2026</t>
        </is>
      </c>
      <c r="K16" s="170" t="inlineStr">
        <is>
          <t>Team</t>
        </is>
      </c>
      <c r="L16" s="171" t="inlineStr">
        <is>
          <t>Passed</t>
        </is>
      </c>
      <c r="M16" s="170" t="inlineStr">
        <is>
          <t>07/04/2026</t>
        </is>
      </c>
      <c r="N16" s="170" t="inlineStr">
        <is>
          <t>Team</t>
        </is>
      </c>
    </row>
    <row r="17">
      <c r="A17" s="169" t="inlineStr">
        <is>
          <t>DASH-06</t>
        </is>
      </c>
      <c r="B17" s="170" t="inlineStr">
        <is>
          <t>Resident without apartment sees empty state</t>
        </is>
      </c>
      <c r="C17" s="170" t="inlineStr">
        <is>
          <t>1. Login as Resident not assigned to apartment
2. Navigate to /resident/apartment</t>
        </is>
      </c>
      <c r="D17" s="170" t="inlineStr">
        <is>
          <t>Message: "Chưa được gán căn hộ". No apartment info shown.</t>
        </is>
      </c>
      <c r="E17" s="170" t="inlineStr">
        <is>
          <t>Active resident with NO apartment</t>
        </is>
      </c>
      <c r="F17" s="171" t="inlineStr">
        <is>
          <t>Passed</t>
        </is>
      </c>
      <c r="G17" s="170" t="inlineStr">
        <is>
          <t>07/04/2026</t>
        </is>
      </c>
      <c r="H17" s="170" t="inlineStr">
        <is>
          <t>Team</t>
        </is>
      </c>
      <c r="I17" s="171" t="inlineStr">
        <is>
          <t>Passed</t>
        </is>
      </c>
      <c r="J17" s="170" t="inlineStr">
        <is>
          <t>07/04/2026</t>
        </is>
      </c>
      <c r="K17" s="170" t="inlineStr">
        <is>
          <t>Team</t>
        </is>
      </c>
      <c r="L17" s="171" t="inlineStr">
        <is>
          <t>Passed</t>
        </is>
      </c>
      <c r="M17" s="170" t="inlineStr">
        <is>
          <t>07/04/2026</t>
        </is>
      </c>
      <c r="N17" s="170" t="inlineStr">
        <is>
          <t>Team</t>
        </is>
      </c>
    </row>
    <row r="18">
      <c r="A18" s="172" t="inlineStr">
        <is>
          <t>Scenario C — Profile Management (UC05, UC06, UC07)</t>
        </is>
      </c>
      <c r="B18" s="173" t="n"/>
      <c r="C18" s="173" t="n"/>
      <c r="D18" s="173" t="n"/>
      <c r="E18" s="173" t="n"/>
      <c r="F18" s="173" t="n"/>
      <c r="G18" s="173" t="n"/>
      <c r="H18" s="173" t="n"/>
      <c r="I18" s="173" t="n"/>
      <c r="J18" s="173" t="n"/>
      <c r="K18" s="173" t="n"/>
      <c r="L18" s="173" t="n"/>
      <c r="M18" s="173" t="n"/>
      <c r="N18" s="173" t="n"/>
    </row>
    <row r="19">
      <c r="A19" s="169" t="inlineStr">
        <is>
          <t>DASH-07</t>
        </is>
      </c>
      <c r="B19" s="170" t="inlineStr">
        <is>
          <t>View profile — all fields visible</t>
        </is>
      </c>
      <c r="C19" s="170" t="inlineStr">
        <is>
          <t>1. Login as any user
2. Navigate to /profile</t>
        </is>
      </c>
      <c r="D19" s="170" t="inlineStr">
        <is>
          <t>Profile shows: full name, email, phone, gender, DOB, role/type, last login.</t>
        </is>
      </c>
      <c r="E19" s="170" t="inlineStr">
        <is>
          <t>Active account</t>
        </is>
      </c>
      <c r="F19" s="171" t="inlineStr">
        <is>
          <t>Passed</t>
        </is>
      </c>
      <c r="G19" s="170" t="inlineStr">
        <is>
          <t>07/04/2026</t>
        </is>
      </c>
      <c r="H19" s="170" t="inlineStr">
        <is>
          <t>Team</t>
        </is>
      </c>
      <c r="I19" s="171" t="inlineStr">
        <is>
          <t>Passed</t>
        </is>
      </c>
      <c r="J19" s="170" t="inlineStr">
        <is>
          <t>07/04/2026</t>
        </is>
      </c>
      <c r="K19" s="170" t="inlineStr">
        <is>
          <t>Team</t>
        </is>
      </c>
      <c r="L19" s="171" t="inlineStr">
        <is>
          <t>Passed</t>
        </is>
      </c>
      <c r="M19" s="170" t="inlineStr">
        <is>
          <t>07/04/2026</t>
        </is>
      </c>
      <c r="N19" s="170" t="inlineStr">
        <is>
          <t>Team</t>
        </is>
      </c>
    </row>
    <row r="20">
      <c r="A20" s="169" t="inlineStr">
        <is>
          <t>DASH-08</t>
        </is>
      </c>
      <c r="B20" s="170" t="inlineStr">
        <is>
          <t>Update profile — change phone number</t>
        </is>
      </c>
      <c r="C20" s="170" t="inlineStr">
        <is>
          <t>1. Navigate to /profile
2. Edit phone to new value
3. Save</t>
        </is>
      </c>
      <c r="D20" s="170" t="inlineStr">
        <is>
          <t>Profile updated. New phone shown immediately.</t>
        </is>
      </c>
      <c r="E20" s="170" t="inlineStr">
        <is>
          <t>Active account</t>
        </is>
      </c>
      <c r="F20" s="171" t="inlineStr">
        <is>
          <t>Passed</t>
        </is>
      </c>
      <c r="G20" s="170" t="inlineStr">
        <is>
          <t>07/04/2026</t>
        </is>
      </c>
      <c r="H20" s="170" t="inlineStr">
        <is>
          <t>Team</t>
        </is>
      </c>
      <c r="I20" s="171" t="inlineStr">
        <is>
          <t>Passed</t>
        </is>
      </c>
      <c r="J20" s="170" t="inlineStr">
        <is>
          <t>07/04/2026</t>
        </is>
      </c>
      <c r="K20" s="170" t="inlineStr">
        <is>
          <t>Team</t>
        </is>
      </c>
      <c r="L20" s="171" t="inlineStr">
        <is>
          <t>Passed</t>
        </is>
      </c>
      <c r="M20" s="170" t="inlineStr">
        <is>
          <t>07/04/2026</t>
        </is>
      </c>
      <c r="N20" s="170" t="inlineStr">
        <is>
          <t>Team</t>
        </is>
      </c>
    </row>
    <row r="21">
      <c r="A21" s="169" t="inlineStr">
        <is>
          <t>DASH-09</t>
        </is>
      </c>
      <c r="B21" s="170" t="inlineStr">
        <is>
          <t>Change password — correct current password</t>
        </is>
      </c>
      <c r="C21" s="170" t="inlineStr">
        <is>
          <t>1. Navigate to /profile password section
2. Enter correct current password + new password
3. Save</t>
        </is>
      </c>
      <c r="D21" s="170" t="inlineStr">
        <is>
          <t>Password changed. Can login with new password.</t>
        </is>
      </c>
      <c r="E21" s="170" t="inlineStr">
        <is>
          <t>Active account</t>
        </is>
      </c>
      <c r="F21" s="171" t="inlineStr">
        <is>
          <t>Passed</t>
        </is>
      </c>
      <c r="G21" s="170" t="inlineStr">
        <is>
          <t>07/04/2026</t>
        </is>
      </c>
      <c r="H21" s="170" t="inlineStr">
        <is>
          <t>Team</t>
        </is>
      </c>
      <c r="I21" s="171" t="inlineStr">
        <is>
          <t>Passed</t>
        </is>
      </c>
      <c r="J21" s="170" t="inlineStr">
        <is>
          <t>07/04/2026</t>
        </is>
      </c>
      <c r="K21" s="170" t="inlineStr">
        <is>
          <t>Team</t>
        </is>
      </c>
      <c r="L21" s="171" t="inlineStr">
        <is>
          <t>Passed</t>
        </is>
      </c>
      <c r="M21" s="170" t="inlineStr">
        <is>
          <t>07/04/2026</t>
        </is>
      </c>
      <c r="N21" s="170" t="inlineStr">
        <is>
          <t>Team</t>
        </is>
      </c>
    </row>
    <row r="22">
      <c r="A22" s="169" t="inlineStr">
        <is>
          <t>DASH-10</t>
        </is>
      </c>
      <c r="B22" s="170" t="inlineStr">
        <is>
          <t>Change password — wrong current password</t>
        </is>
      </c>
      <c r="C22" s="170" t="inlineStr">
        <is>
          <t>1. Enter incorrect current password
2. Submit</t>
        </is>
      </c>
      <c r="D22" s="170" t="inlineStr">
        <is>
          <t>Error: "Current password incorrect". Password unchanged.</t>
        </is>
      </c>
      <c r="E22" s="170" t="inlineStr">
        <is>
          <t>Active account</t>
        </is>
      </c>
      <c r="F22" s="171" t="inlineStr">
        <is>
          <t>Passed</t>
        </is>
      </c>
      <c r="G22" s="170" t="inlineStr">
        <is>
          <t>07/04/2026</t>
        </is>
      </c>
      <c r="H22" s="170" t="inlineStr">
        <is>
          <t>Team</t>
        </is>
      </c>
      <c r="I22" s="171" t="inlineStr">
        <is>
          <t>Passed</t>
        </is>
      </c>
      <c r="J22" s="170" t="inlineStr">
        <is>
          <t>07/04/2026</t>
        </is>
      </c>
      <c r="K22" s="170" t="inlineStr">
        <is>
          <t>Team</t>
        </is>
      </c>
      <c r="L22" s="171" t="inlineStr">
        <is>
          <t>Passed</t>
        </is>
      </c>
      <c r="M22" s="170" t="inlineStr">
        <is>
          <t>07/04/2026</t>
        </is>
      </c>
      <c r="N22" s="170" t="inlineStr">
        <is>
          <t>Team</t>
        </is>
      </c>
    </row>
  </sheetData>
  <mergeCells count="3">
    <mergeCell ref="B3:E3"/>
    <mergeCell ref="B2:E2"/>
    <mergeCell ref="B4:E4"/>
  </mergeCells>
  <dataValidations count="2">
    <dataValidation sqref="F12:F13 G2:G3 G9 G14:G141 I12:I13 J2:J3 J9 J14:J141 L12:L13 M2:M3 M9 M14:M141" showDropDown="0" showInputMessage="0" showErrorMessage="1" allowBlank="1" type="list">
      <formula1>$R$2:$R$5</formula1>
      <formula2>0</formula2>
    </dataValidation>
    <dataValidation sqref="F10 I10 L10" showDropDown="0" showInputMessage="0" showErrorMessage="1" allowBlank="1"/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R29"/>
  <sheetViews>
    <sheetView zoomScale="85" zoomScaleNormal="85" workbookViewId="0">
      <pane ySplit="10" topLeftCell="A12" activePane="bottomLeft" state="frozen"/>
      <selection pane="bottomLeft" activeCell="B16" sqref="B16"/>
    </sheetView>
  </sheetViews>
  <sheetFormatPr baseColWidth="8" defaultColWidth="9" defaultRowHeight="13.2" outlineLevelRow="1"/>
  <cols>
    <col width="12" customWidth="1" style="1" min="1" max="1"/>
    <col width="28" customWidth="1" style="1" min="2" max="2"/>
    <col width="32" customWidth="1" style="1" min="3" max="3"/>
    <col width="28" customWidth="1" style="1" min="4" max="4"/>
    <col width="22" customWidth="1" style="1" min="5" max="5"/>
    <col width="9" customWidth="1" style="1" min="6" max="6"/>
    <col outlineLevel="1" width="11" customWidth="1" style="1" min="7" max="7"/>
    <col outlineLevel="1" width="9" bestFit="1" customWidth="1" style="1" min="8" max="8"/>
    <col width="9" customWidth="1" style="1" min="9" max="9"/>
    <col outlineLevel="1" width="11" customWidth="1" style="1" min="10" max="10"/>
    <col outlineLevel="1" width="9" bestFit="1" customWidth="1" style="1" min="11" max="11"/>
    <col width="9" customWidth="1" style="1" min="12" max="12"/>
    <col outlineLevel="1" width="11" customWidth="1" style="1" min="13" max="13"/>
    <col outlineLevel="1" width="9" bestFit="1" customWidth="1" style="1" min="14" max="14"/>
    <col width="28.6640625" customWidth="1" style="1" min="15" max="15"/>
    <col width="10.109375" customWidth="1" style="1" min="16" max="16"/>
    <col width="8.109375" customWidth="1" style="28" min="17" max="17"/>
    <col hidden="1" width="7.6640625" customWidth="1" style="1" min="18" max="18"/>
    <col width="9" customWidth="1" style="1" min="19" max="16384"/>
  </cols>
  <sheetData>
    <row r="1" ht="13.8" customHeight="1" thickBot="1">
      <c r="B1" t="inlineStr">
        <is>
          <t>Workflow Management</t>
        </is>
      </c>
    </row>
    <row r="2" ht="15" customFormat="1" customHeight="1" s="30">
      <c r="A2" s="92" t="inlineStr">
        <is>
          <t>Workflow</t>
        </is>
      </c>
      <c r="B2" s="127" t="inlineStr">
        <is>
          <t>UC09–UC12: Staff/Resident/Building/Fee Template Management</t>
        </is>
      </c>
      <c r="C2" s="147" t="n"/>
      <c r="D2" s="147" t="n"/>
      <c r="E2" s="148" t="n"/>
      <c r="F2" s="82" t="n"/>
      <c r="G2" s="76" t="n"/>
      <c r="H2" s="9" t="n"/>
      <c r="I2" s="82" t="n"/>
      <c r="J2" s="76" t="n"/>
      <c r="K2" s="9" t="n"/>
      <c r="L2" s="82" t="n"/>
      <c r="M2" s="76" t="n"/>
      <c r="N2" s="9" t="n"/>
      <c r="O2" s="9" t="n"/>
      <c r="P2" s="9" t="n"/>
      <c r="Q2" s="29" t="n"/>
      <c r="R2" s="30" t="inlineStr">
        <is>
          <t>Passed</t>
        </is>
      </c>
    </row>
    <row r="3" ht="26.4" customFormat="1" customHeight="1" s="30">
      <c r="A3" s="93" t="inlineStr">
        <is>
          <t>Test requirement</t>
        </is>
      </c>
      <c r="B3" s="129" t="inlineStr">
        <is>
          <t>&lt;Brief description about requirements which are tested in this sheet&gt;</t>
        </is>
      </c>
      <c r="C3" s="149" t="n"/>
      <c r="D3" s="149" t="n"/>
      <c r="E3" s="150" t="n"/>
      <c r="F3" s="82" t="n"/>
      <c r="G3" s="76" t="n"/>
      <c r="H3" s="9" t="n"/>
      <c r="I3" s="82" t="n"/>
      <c r="J3" s="76" t="n"/>
      <c r="K3" s="9" t="n"/>
      <c r="L3" s="82" t="n"/>
      <c r="M3" s="76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93" t="inlineStr">
        <is>
          <t>Number of TCs</t>
        </is>
      </c>
      <c r="B4" s="129">
        <f>COUNTA(A12:A998)</f>
        <v/>
      </c>
      <c r="C4" s="149" t="n"/>
      <c r="D4" s="149" t="n"/>
      <c r="E4" s="150" t="n"/>
      <c r="F4" s="82" t="n"/>
      <c r="G4" s="76" t="n"/>
      <c r="H4" s="9" t="n"/>
      <c r="I4" s="82" t="n"/>
      <c r="J4" s="76" t="n"/>
      <c r="K4" s="9" t="n"/>
      <c r="L4" s="82" t="n"/>
      <c r="M4" s="76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6" t="inlineStr">
        <is>
          <t>Testing Round</t>
        </is>
      </c>
      <c r="B5" s="84" t="inlineStr">
        <is>
          <t>Passed</t>
        </is>
      </c>
      <c r="C5" s="84" t="inlineStr">
        <is>
          <t>Failed</t>
        </is>
      </c>
      <c r="D5" s="84" t="inlineStr">
        <is>
          <t>Pending</t>
        </is>
      </c>
      <c r="E5" s="87" t="inlineStr">
        <is>
          <t>N/A</t>
        </is>
      </c>
      <c r="F5" s="77" t="n"/>
      <c r="G5" s="77" t="n"/>
      <c r="H5" s="31" t="n"/>
      <c r="I5" s="77" t="n"/>
      <c r="J5" s="77" t="n"/>
      <c r="K5" s="31" t="n"/>
      <c r="L5" s="77" t="n"/>
      <c r="M5" s="77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6" t="inlineStr">
        <is>
          <t>Round 1</t>
        </is>
      </c>
      <c r="B6" s="85">
        <f>COUNTIF($F10:$F996,B5)</f>
        <v/>
      </c>
      <c r="C6" s="85">
        <f>COUNTIF($F10:$F996,C5)</f>
        <v/>
      </c>
      <c r="D6" s="85">
        <f>COUNTIF($F10:$F996,D5)</f>
        <v/>
      </c>
      <c r="E6" s="91">
        <f>COUNTIF($F10:$F996,E5)</f>
        <v/>
      </c>
      <c r="F6" s="78" t="n"/>
      <c r="G6" s="78" t="n"/>
      <c r="H6" s="31" t="n"/>
      <c r="I6" s="78" t="n"/>
      <c r="J6" s="78" t="n"/>
      <c r="K6" s="31" t="n"/>
      <c r="L6" s="78" t="n"/>
      <c r="M6" s="78" t="n"/>
      <c r="N6" s="31" t="n"/>
      <c r="O6" s="31" t="n"/>
      <c r="P6" s="31" t="n"/>
      <c r="Q6" s="32" t="n"/>
    </row>
    <row r="7" ht="15" customFormat="1" customHeight="1" s="30">
      <c r="A7" s="86" t="inlineStr">
        <is>
          <t>Round 2</t>
        </is>
      </c>
      <c r="B7" s="85">
        <f>COUNTIF($F10:$F996,B5)</f>
        <v/>
      </c>
      <c r="C7" s="85">
        <f>COUNTIF($F10:$F996,C5)</f>
        <v/>
      </c>
      <c r="D7" s="85">
        <f>COUNTIF($F10:$F996,D5)</f>
        <v/>
      </c>
      <c r="E7" s="91">
        <f>COUNTIF($F10:$F996,E5)</f>
        <v/>
      </c>
      <c r="F7" s="78" t="n"/>
      <c r="G7" s="78" t="n"/>
      <c r="H7" s="31" t="n"/>
      <c r="I7" s="78" t="n"/>
      <c r="J7" s="78" t="n"/>
      <c r="K7" s="31" t="n"/>
      <c r="L7" s="78" t="n"/>
      <c r="M7" s="78" t="n"/>
      <c r="N7" s="31" t="n"/>
      <c r="O7" s="31" t="n"/>
      <c r="P7" s="31" t="n"/>
      <c r="Q7" s="32" t="n"/>
    </row>
    <row r="8" ht="15" customFormat="1" customHeight="1" s="30" thickBot="1">
      <c r="A8" s="88" t="inlineStr">
        <is>
          <t>Round 3</t>
        </is>
      </c>
      <c r="B8" s="89">
        <f>COUNTIF($F10:$F996,B5)</f>
        <v/>
      </c>
      <c r="C8" s="89">
        <f>COUNTIF($F10:$F996,C5)</f>
        <v/>
      </c>
      <c r="D8" s="89">
        <f>COUNTIF($F10:$F996,D5)</f>
        <v/>
      </c>
      <c r="E8" s="90">
        <f>COUNTIF($F10:$F996,E5)</f>
        <v/>
      </c>
      <c r="F8" s="78" t="n"/>
      <c r="G8" s="78" t="n"/>
      <c r="H8" s="31" t="n"/>
      <c r="I8" s="78" t="n"/>
      <c r="J8" s="78" t="n"/>
      <c r="K8" s="31" t="n"/>
      <c r="L8" s="78" t="n"/>
      <c r="M8" s="78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151" t="inlineStr">
        <is>
          <t>Scenario A — Staff Account Management (UC09)</t>
        </is>
      </c>
      <c r="B10" s="152" t="n"/>
      <c r="C10" s="152" t="n"/>
      <c r="D10" s="152" t="n"/>
      <c r="E10" s="152" t="n"/>
      <c r="F10" s="152" t="n"/>
      <c r="G10" s="152" t="n"/>
      <c r="H10" s="152" t="n"/>
      <c r="I10" s="152" t="n"/>
      <c r="J10" s="152" t="n"/>
      <c r="K10" s="152" t="n"/>
      <c r="L10" s="152" t="n"/>
      <c r="M10" s="152" t="n"/>
      <c r="N10" s="152" t="n"/>
      <c r="O10" s="153" t="n"/>
      <c r="P10" s="154" t="n"/>
      <c r="Q10" s="155" t="n"/>
      <c r="R10" s="154" t="n"/>
    </row>
    <row r="11" ht="15.75" customFormat="1" customHeight="1" s="30">
      <c r="A11" s="156" t="inlineStr">
        <is>
          <t>MGMT-01</t>
        </is>
      </c>
      <c r="B11" s="157" t="inlineStr">
        <is>
          <t>Create new staff account</t>
        </is>
      </c>
      <c r="C11" s="157" t="inlineStr">
        <is>
          <t>1. Login as Admin
2. /dashboard/staff → Add Staff
3. Fill username, fullName, phone, role=ACCOUNTANT
4. Save</t>
        </is>
      </c>
      <c r="D11" s="157" t="inlineStr">
        <is>
          <t>Staff account created. Appears in staff list. Can login.</t>
        </is>
      </c>
      <c r="E11" s="157" t="inlineStr">
        <is>
          <t>Admin account</t>
        </is>
      </c>
      <c r="F11" s="158" t="inlineStr">
        <is>
          <t>Passed</t>
        </is>
      </c>
      <c r="G11" s="157" t="inlineStr">
        <is>
          <t>07/04/2026</t>
        </is>
      </c>
      <c r="H11" s="157" t="inlineStr">
        <is>
          <t>Team</t>
        </is>
      </c>
      <c r="I11" s="158" t="inlineStr">
        <is>
          <t>Passed</t>
        </is>
      </c>
      <c r="J11" s="157" t="inlineStr">
        <is>
          <t>07/04/2026</t>
        </is>
      </c>
      <c r="K11" s="157" t="inlineStr">
        <is>
          <t>Team</t>
        </is>
      </c>
      <c r="L11" s="158" t="inlineStr">
        <is>
          <t>Passed</t>
        </is>
      </c>
      <c r="M11" s="157" t="inlineStr">
        <is>
          <t>07/04/2026</t>
        </is>
      </c>
      <c r="N11" s="157" t="inlineStr">
        <is>
          <t>Team</t>
        </is>
      </c>
      <c r="O11" s="159" t="n"/>
      <c r="P11" s="154" t="n"/>
      <c r="Q11" s="160" t="n"/>
      <c r="R11" s="154" t="n"/>
    </row>
    <row r="12" outlineLevel="1" ht="102" customFormat="1" customHeight="1" s="44">
      <c r="A12" s="156" t="inlineStr">
        <is>
          <t>MGMT-02</t>
        </is>
      </c>
      <c r="B12" s="157" t="inlineStr">
        <is>
          <t>Edit staff — update phone and position</t>
        </is>
      </c>
      <c r="C12" s="157" t="inlineStr">
        <is>
          <t>1. Find staff
2. Click Edit
3. Change phone + position
4. Save</t>
        </is>
      </c>
      <c r="D12" s="161" t="inlineStr">
        <is>
          <t>Staff info updated.</t>
        </is>
      </c>
      <c r="E12" s="161" t="inlineStr">
        <is>
          <t>Existing staff account</t>
        </is>
      </c>
      <c r="F12" s="158" t="inlineStr">
        <is>
          <t>Passed</t>
        </is>
      </c>
      <c r="G12" s="157" t="inlineStr">
        <is>
          <t>07/04/2026</t>
        </is>
      </c>
      <c r="H12" s="157" t="inlineStr">
        <is>
          <t>Team</t>
        </is>
      </c>
      <c r="I12" s="158" t="inlineStr">
        <is>
          <t>Passed</t>
        </is>
      </c>
      <c r="J12" s="157" t="inlineStr">
        <is>
          <t>07/04/2026</t>
        </is>
      </c>
      <c r="K12" s="157" t="inlineStr">
        <is>
          <t>Team</t>
        </is>
      </c>
      <c r="L12" s="158" t="inlineStr">
        <is>
          <t>Passed</t>
        </is>
      </c>
      <c r="M12" s="157" t="inlineStr">
        <is>
          <t>07/04/2026</t>
        </is>
      </c>
      <c r="N12" s="157" t="inlineStr">
        <is>
          <t>Team</t>
        </is>
      </c>
      <c r="O12" s="162" t="n"/>
      <c r="P12" s="154" t="n"/>
      <c r="Q12" s="163" t="n"/>
      <c r="R12" s="154" t="n"/>
    </row>
    <row r="13" outlineLevel="1" ht="104.4" customHeight="1">
      <c r="A13" s="156" t="inlineStr">
        <is>
          <t>MGMT-03</t>
        </is>
      </c>
      <c r="B13" s="157" t="inlineStr">
        <is>
          <t>Deactivate staff account</t>
        </is>
      </c>
      <c r="C13" s="157" t="inlineStr">
        <is>
          <t>1. Find active staff
2. Click Deactivate
3. Confirm</t>
        </is>
      </c>
      <c r="D13" s="161" t="inlineStr">
        <is>
          <t>Status = RESIGNED. Staff cannot login.</t>
        </is>
      </c>
      <c r="E13" s="161" t="inlineStr">
        <is>
          <t>Active non-Admin staff</t>
        </is>
      </c>
      <c r="F13" s="158" t="inlineStr">
        <is>
          <t>Passed</t>
        </is>
      </c>
      <c r="G13" s="157" t="inlineStr">
        <is>
          <t>07/04/2026</t>
        </is>
      </c>
      <c r="H13" s="157" t="inlineStr">
        <is>
          <t>Team</t>
        </is>
      </c>
      <c r="I13" s="158" t="inlineStr">
        <is>
          <t>Passed</t>
        </is>
      </c>
      <c r="J13" s="157" t="inlineStr">
        <is>
          <t>07/04/2026</t>
        </is>
      </c>
      <c r="K13" s="157" t="inlineStr">
        <is>
          <t>Team</t>
        </is>
      </c>
      <c r="L13" s="158" t="inlineStr">
        <is>
          <t>Passed</t>
        </is>
      </c>
      <c r="M13" s="157" t="inlineStr">
        <is>
          <t>07/04/2026</t>
        </is>
      </c>
      <c r="N13" s="157" t="inlineStr">
        <is>
          <t>Team</t>
        </is>
      </c>
      <c r="O13" s="162" t="n"/>
      <c r="P13" s="154" t="n"/>
      <c r="Q13" s="163" t="n"/>
      <c r="R13" s="154" t="n"/>
    </row>
    <row r="14" outlineLevel="1">
      <c r="A14" s="151" t="inlineStr">
        <is>
          <t>Scenario B — Resident Account Management (UC10)</t>
        </is>
      </c>
      <c r="B14" s="167" t="n"/>
      <c r="C14" s="167" t="n"/>
      <c r="D14" s="168" t="n"/>
      <c r="E14" s="168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2" t="n"/>
      <c r="P14" s="154" t="n"/>
      <c r="Q14" s="163" t="n"/>
      <c r="R14" s="154" t="n"/>
    </row>
    <row r="15">
      <c r="A15" s="169" t="inlineStr">
        <is>
          <t>MGMT-04</t>
        </is>
      </c>
      <c r="B15" s="161" t="inlineStr">
        <is>
          <t>Approve PENDING resident</t>
        </is>
      </c>
      <c r="C15" s="161" t="inlineStr">
        <is>
          <t>1. /dashboard/resident → find PENDING resident
2. Click Approve</t>
        </is>
      </c>
      <c r="D15" s="161" t="inlineStr">
        <is>
          <t>Resident status = ACTIVE. Can now login.</t>
        </is>
      </c>
      <c r="E15" s="161" t="inlineStr">
        <is>
          <t>PENDING resident exists</t>
        </is>
      </c>
      <c r="F15" s="171" t="inlineStr">
        <is>
          <t>Passed</t>
        </is>
      </c>
      <c r="G15" s="161" t="inlineStr">
        <is>
          <t>07/04/2026</t>
        </is>
      </c>
      <c r="H15" s="161" t="inlineStr">
        <is>
          <t>Team</t>
        </is>
      </c>
      <c r="I15" s="171" t="inlineStr">
        <is>
          <t>Passed</t>
        </is>
      </c>
      <c r="J15" s="161" t="inlineStr">
        <is>
          <t>07/04/2026</t>
        </is>
      </c>
      <c r="K15" s="161" t="inlineStr">
        <is>
          <t>Team</t>
        </is>
      </c>
      <c r="L15" s="171" t="inlineStr">
        <is>
          <t>Passed</t>
        </is>
      </c>
      <c r="M15" s="161" t="inlineStr">
        <is>
          <t>07/04/2026</t>
        </is>
      </c>
      <c r="N15" s="161" t="inlineStr">
        <is>
          <t>Team</t>
        </is>
      </c>
      <c r="O15" s="154" t="n"/>
      <c r="P15" s="154" t="n"/>
      <c r="Q15" s="154" t="n"/>
      <c r="R15" s="154" t="n"/>
    </row>
    <row r="16">
      <c r="A16" s="169" t="inlineStr">
        <is>
          <t>MGMT-05</t>
        </is>
      </c>
      <c r="B16" s="161" t="inlineStr">
        <is>
          <t>Assign resident to apartment</t>
        </is>
      </c>
      <c r="C16" s="161" t="inlineStr">
        <is>
          <t>1. Open resident detail
2. Assign to EMPTY apartment</t>
        </is>
      </c>
      <c r="D16" s="161" t="inlineStr">
        <is>
          <t>Resident assigned to apartment. Apartment status = OCCUPIED.</t>
        </is>
      </c>
      <c r="E16" s="161" t="inlineStr">
        <is>
          <t>Active unassigned resident + EMPTY apartment</t>
        </is>
      </c>
      <c r="F16" s="171" t="inlineStr">
        <is>
          <t>Passed</t>
        </is>
      </c>
      <c r="G16" s="161" t="inlineStr">
        <is>
          <t>07/04/2026</t>
        </is>
      </c>
      <c r="H16" s="161" t="inlineStr">
        <is>
          <t>Team</t>
        </is>
      </c>
      <c r="I16" s="171" t="inlineStr">
        <is>
          <t>Passed</t>
        </is>
      </c>
      <c r="J16" s="161" t="inlineStr">
        <is>
          <t>07/04/2026</t>
        </is>
      </c>
      <c r="K16" s="161" t="inlineStr">
        <is>
          <t>Team</t>
        </is>
      </c>
      <c r="L16" s="171" t="inlineStr">
        <is>
          <t>Passed</t>
        </is>
      </c>
      <c r="M16" s="161" t="inlineStr">
        <is>
          <t>07/04/2026</t>
        </is>
      </c>
      <c r="N16" s="161" t="inlineStr">
        <is>
          <t>Team</t>
        </is>
      </c>
      <c r="O16" s="154" t="n"/>
      <c r="P16" s="154" t="n"/>
      <c r="Q16" s="154" t="n"/>
      <c r="R16" s="154" t="n"/>
    </row>
    <row r="17" ht="15.75" customFormat="1" customHeight="1" s="30">
      <c r="A17" s="156" t="inlineStr">
        <is>
          <t>MGMT-06</t>
        </is>
      </c>
      <c r="B17" s="157" t="inlineStr">
        <is>
          <t>Deactivate resident</t>
        </is>
      </c>
      <c r="C17" s="157" t="inlineStr">
        <is>
          <t>1. Find active resident
2. Click Deactivate</t>
        </is>
      </c>
      <c r="D17" s="157" t="inlineStr">
        <is>
          <t>Status = INACTIVE. Cannot login.</t>
        </is>
      </c>
      <c r="E17" s="157" t="inlineStr">
        <is>
          <t>Active resident</t>
        </is>
      </c>
      <c r="F17" s="158" t="inlineStr">
        <is>
          <t>Passed</t>
        </is>
      </c>
      <c r="G17" s="157" t="inlineStr">
        <is>
          <t>07/04/2026</t>
        </is>
      </c>
      <c r="H17" s="157" t="inlineStr">
        <is>
          <t>Team</t>
        </is>
      </c>
      <c r="I17" s="158" t="inlineStr">
        <is>
          <t>Passed</t>
        </is>
      </c>
      <c r="J17" s="157" t="inlineStr">
        <is>
          <t>07/04/2026</t>
        </is>
      </c>
      <c r="K17" s="157" t="inlineStr">
        <is>
          <t>Team</t>
        </is>
      </c>
      <c r="L17" s="158" t="inlineStr">
        <is>
          <t>Passed</t>
        </is>
      </c>
      <c r="M17" s="157" t="inlineStr">
        <is>
          <t>07/04/2026</t>
        </is>
      </c>
      <c r="N17" s="157" t="inlineStr">
        <is>
          <t>Team</t>
        </is>
      </c>
      <c r="O17" s="165" t="n"/>
      <c r="P17" s="154" t="n"/>
      <c r="Q17" s="160" t="n"/>
      <c r="R17" s="154" t="n"/>
    </row>
    <row r="18" outlineLevel="1">
      <c r="A18" s="151" t="inlineStr">
        <is>
          <t>Scenario C — Building &amp; Apartment Management (UC11)</t>
        </is>
      </c>
      <c r="B18" s="167" t="n"/>
      <c r="C18" s="167" t="n"/>
      <c r="D18" s="167" t="n"/>
      <c r="E18" s="167" t="n"/>
      <c r="F18" s="167" t="n"/>
      <c r="G18" s="167" t="n"/>
      <c r="H18" s="167" t="n"/>
      <c r="I18" s="167" t="n"/>
      <c r="J18" s="167" t="n"/>
      <c r="K18" s="167" t="n"/>
      <c r="L18" s="167" t="n"/>
      <c r="M18" s="167" t="n"/>
      <c r="N18" s="167" t="n"/>
      <c r="O18" s="162" t="n"/>
      <c r="P18" s="154" t="n"/>
      <c r="Q18" s="163" t="n"/>
      <c r="R18" s="154" t="n"/>
    </row>
    <row r="19" outlineLevel="1">
      <c r="A19" s="156" t="inlineStr">
        <is>
          <t>MGMT-07</t>
        </is>
      </c>
      <c r="B19" s="157" t="inlineStr">
        <is>
          <t>Create new building</t>
        </is>
      </c>
      <c r="C19" s="157" t="inlineStr">
        <is>
          <t>1. /dashboard/apartments → Tòa nhà tab → Add Building
2. Fill name, address
3. Save</t>
        </is>
      </c>
      <c r="D19" s="157" t="inlineStr">
        <is>
          <t>Building created. Appears in all building dropdowns.</t>
        </is>
      </c>
      <c r="E19" s="157" t="inlineStr">
        <is>
          <t>Admin/Manager account</t>
        </is>
      </c>
      <c r="F19" s="158" t="inlineStr">
        <is>
          <t>Passed</t>
        </is>
      </c>
      <c r="G19" s="161" t="inlineStr">
        <is>
          <t>07/04/2026</t>
        </is>
      </c>
      <c r="H19" s="161" t="inlineStr">
        <is>
          <t>Team</t>
        </is>
      </c>
      <c r="I19" s="158" t="inlineStr">
        <is>
          <t>Passed</t>
        </is>
      </c>
      <c r="J19" s="161" t="inlineStr">
        <is>
          <t>07/04/2026</t>
        </is>
      </c>
      <c r="K19" s="161" t="inlineStr">
        <is>
          <t>Team</t>
        </is>
      </c>
      <c r="L19" s="158" t="inlineStr">
        <is>
          <t>Passed</t>
        </is>
      </c>
      <c r="M19" s="161" t="inlineStr">
        <is>
          <t>07/04/2026</t>
        </is>
      </c>
      <c r="N19" s="161" t="inlineStr">
        <is>
          <t>Team</t>
        </is>
      </c>
      <c r="O19" s="166" t="n"/>
      <c r="P19" s="154" t="n"/>
      <c r="Q19" s="154" t="n"/>
      <c r="R19" s="154" t="n"/>
    </row>
    <row r="20">
      <c r="A20" s="169" t="inlineStr">
        <is>
          <t>MGMT-08</t>
        </is>
      </c>
      <c r="B20" s="170" t="inlineStr">
        <is>
          <t>Create new apartment</t>
        </is>
      </c>
      <c r="C20" s="170" t="inlineStr">
        <is>
          <t>1. Apartments tab → Add Apartment
2. Select building, enter number/floor/area
3. Save</t>
        </is>
      </c>
      <c r="D20" s="170" t="inlineStr">
        <is>
          <t>Apartment created with status=EMPTY.</t>
        </is>
      </c>
      <c r="E20" s="170" t="inlineStr">
        <is>
          <t>Building exists</t>
        </is>
      </c>
      <c r="F20" s="171" t="inlineStr">
        <is>
          <t>Passed</t>
        </is>
      </c>
      <c r="G20" s="170" t="inlineStr">
        <is>
          <t>07/04/2026</t>
        </is>
      </c>
      <c r="H20" s="170" t="inlineStr">
        <is>
          <t>Team</t>
        </is>
      </c>
      <c r="I20" s="171" t="inlineStr">
        <is>
          <t>Passed</t>
        </is>
      </c>
      <c r="J20" s="170" t="inlineStr">
        <is>
          <t>07/04/2026</t>
        </is>
      </c>
      <c r="K20" s="170" t="inlineStr">
        <is>
          <t>Team</t>
        </is>
      </c>
      <c r="L20" s="171" t="inlineStr">
        <is>
          <t>Passed</t>
        </is>
      </c>
      <c r="M20" s="170" t="inlineStr">
        <is>
          <t>07/04/2026</t>
        </is>
      </c>
      <c r="N20" s="170" t="inlineStr">
        <is>
          <t>Team</t>
        </is>
      </c>
    </row>
    <row r="21">
      <c r="A21" s="169" t="inlineStr">
        <is>
          <t>MGMT-09</t>
        </is>
      </c>
      <c r="B21" s="170" t="inlineStr">
        <is>
          <t>Edit apartment status to MAINTENANCE</t>
        </is>
      </c>
      <c r="C21" s="170" t="inlineStr">
        <is>
          <t>1. Find apartment
2. Edit → status=MAINTENANCE
3. Save</t>
        </is>
      </c>
      <c r="D21" s="170" t="inlineStr">
        <is>
          <t>Apartment status updated. Shown as MAINTENANCE in list.</t>
        </is>
      </c>
      <c r="E21" s="170" t="inlineStr">
        <is>
          <t>Existing apartment</t>
        </is>
      </c>
      <c r="F21" s="171" t="inlineStr">
        <is>
          <t>Passed</t>
        </is>
      </c>
      <c r="G21" s="170" t="inlineStr">
        <is>
          <t>07/04/2026</t>
        </is>
      </c>
      <c r="H21" s="170" t="inlineStr">
        <is>
          <t>Team</t>
        </is>
      </c>
      <c r="I21" s="171" t="inlineStr">
        <is>
          <t>Passed</t>
        </is>
      </c>
      <c r="J21" s="170" t="inlineStr">
        <is>
          <t>07/04/2026</t>
        </is>
      </c>
      <c r="K21" s="170" t="inlineStr">
        <is>
          <t>Team</t>
        </is>
      </c>
      <c r="L21" s="171" t="inlineStr">
        <is>
          <t>Passed</t>
        </is>
      </c>
      <c r="M21" s="170" t="inlineStr">
        <is>
          <t>07/04/2026</t>
        </is>
      </c>
      <c r="N21" s="170" t="inlineStr">
        <is>
          <t>Team</t>
        </is>
      </c>
    </row>
    <row r="22">
      <c r="A22" s="169" t="inlineStr">
        <is>
          <t>MGMT-10</t>
        </is>
      </c>
      <c r="B22" s="170" t="inlineStr">
        <is>
          <t>Duplicate apartment number in same building rejected</t>
        </is>
      </c>
      <c r="C22" s="170" t="inlineStr">
        <is>
          <t>1. Try to create apartment with same number as existing one in same building</t>
        </is>
      </c>
      <c r="D22" s="170" t="inlineStr">
        <is>
          <t>Error message. Apartment not created.</t>
        </is>
      </c>
      <c r="E22" s="170" t="inlineStr">
        <is>
          <t>Apartment with same number/building exists</t>
        </is>
      </c>
      <c r="F22" s="171" t="inlineStr">
        <is>
          <t>Passed</t>
        </is>
      </c>
      <c r="G22" s="170" t="inlineStr">
        <is>
          <t>07/04/2026</t>
        </is>
      </c>
      <c r="H22" s="170" t="inlineStr">
        <is>
          <t>Team</t>
        </is>
      </c>
      <c r="I22" s="171" t="inlineStr">
        <is>
          <t>Passed</t>
        </is>
      </c>
      <c r="J22" s="170" t="inlineStr">
        <is>
          <t>07/04/2026</t>
        </is>
      </c>
      <c r="K22" s="170" t="inlineStr">
        <is>
          <t>Team</t>
        </is>
      </c>
      <c r="L22" s="171" t="inlineStr">
        <is>
          <t>Passed</t>
        </is>
      </c>
      <c r="M22" s="170" t="inlineStr">
        <is>
          <t>07/04/2026</t>
        </is>
      </c>
      <c r="N22" s="170" t="inlineStr">
        <is>
          <t>Team</t>
        </is>
      </c>
    </row>
    <row r="23">
      <c r="A23" s="169" t="inlineStr">
        <is>
          <t>MGMT-11</t>
        </is>
      </c>
      <c r="B23" s="170" t="inlineStr">
        <is>
          <t>View apartment detail with fee charges</t>
        </is>
      </c>
      <c r="C23" s="170" t="inlineStr">
        <is>
          <t>1. Click eye icon on apartment
2. View Chi tiết modal</t>
        </is>
      </c>
      <c r="D23" s="170" t="inlineStr">
        <is>
          <t>Modal shows apartment info + activeFees table + totalEstimatedMonthly.</t>
        </is>
      </c>
      <c r="E23" s="170" t="inlineStr">
        <is>
          <t>Apartment with active fee templates</t>
        </is>
      </c>
      <c r="F23" s="171" t="inlineStr">
        <is>
          <t>Passed</t>
        </is>
      </c>
      <c r="G23" s="170" t="inlineStr">
        <is>
          <t>07/04/2026</t>
        </is>
      </c>
      <c r="H23" s="170" t="inlineStr">
        <is>
          <t>Team</t>
        </is>
      </c>
      <c r="I23" s="171" t="inlineStr">
        <is>
          <t>Passed</t>
        </is>
      </c>
      <c r="J23" s="170" t="inlineStr">
        <is>
          <t>07/04/2026</t>
        </is>
      </c>
      <c r="K23" s="170" t="inlineStr">
        <is>
          <t>Team</t>
        </is>
      </c>
      <c r="L23" s="171" t="inlineStr">
        <is>
          <t>Passed</t>
        </is>
      </c>
      <c r="M23" s="170" t="inlineStr">
        <is>
          <t>07/04/2026</t>
        </is>
      </c>
      <c r="N23" s="170" t="inlineStr">
        <is>
          <t>Team</t>
        </is>
      </c>
    </row>
    <row r="24">
      <c r="A24" s="172" t="inlineStr">
        <is>
          <t>Scenario D — Fee Template Management (UC12)</t>
        </is>
      </c>
      <c r="B24" s="173" t="n"/>
      <c r="C24" s="173" t="n"/>
      <c r="D24" s="173" t="n"/>
      <c r="E24" s="173" t="n"/>
      <c r="F24" s="173" t="n"/>
      <c r="G24" s="173" t="n"/>
      <c r="H24" s="173" t="n"/>
      <c r="I24" s="173" t="n"/>
      <c r="J24" s="173" t="n"/>
      <c r="K24" s="173" t="n"/>
      <c r="L24" s="173" t="n"/>
      <c r="M24" s="173" t="n"/>
      <c r="N24" s="173" t="n"/>
    </row>
    <row r="25">
      <c r="A25" s="169" t="inlineStr">
        <is>
          <t>MGMT-12</t>
        </is>
      </c>
      <c r="B25" s="170" t="inlineStr">
        <is>
          <t>Create SERVICE/PER_M2 fee template</t>
        </is>
      </c>
      <c r="C25" s="170" t="inlineStr">
        <is>
          <t>1. Fee Templates tab → select building → Add Fee Template
2. type=SERVICE, unit=PER_M2, amount=7000
3. Save</t>
        </is>
      </c>
      <c r="D25" s="170" t="inlineStr">
        <is>
          <t>Fee template ACTIVE. Estimated cost shown in apartment list.</t>
        </is>
      </c>
      <c r="E25" s="170" t="inlineStr">
        <is>
          <t>Building with apartments</t>
        </is>
      </c>
      <c r="F25" s="171" t="inlineStr">
        <is>
          <t>Passed</t>
        </is>
      </c>
      <c r="G25" s="170" t="inlineStr">
        <is>
          <t>07/04/2026</t>
        </is>
      </c>
      <c r="H25" s="170" t="inlineStr">
        <is>
          <t>Team</t>
        </is>
      </c>
      <c r="I25" s="171" t="inlineStr">
        <is>
          <t>Passed</t>
        </is>
      </c>
      <c r="J25" s="170" t="inlineStr">
        <is>
          <t>07/04/2026</t>
        </is>
      </c>
      <c r="K25" s="170" t="inlineStr">
        <is>
          <t>Team</t>
        </is>
      </c>
      <c r="L25" s="171" t="inlineStr">
        <is>
          <t>Passed</t>
        </is>
      </c>
      <c r="M25" s="170" t="inlineStr">
        <is>
          <t>07/04/2026</t>
        </is>
      </c>
      <c r="N25" s="170" t="inlineStr">
        <is>
          <t>Team</t>
        </is>
      </c>
    </row>
    <row r="26">
      <c r="A26" s="169" t="inlineStr">
        <is>
          <t>MGMT-13</t>
        </is>
      </c>
      <c r="B26" s="170" t="inlineStr">
        <is>
          <t>Create PARKING/FIXED fee</t>
        </is>
      </c>
      <c r="C26" s="170" t="inlineStr">
        <is>
          <t>1. Add Fee Template
2. type=PARKING, name="Phí gửi xe máy", unit=FIXED, amount=100000
3. Save</t>
        </is>
      </c>
      <c r="D26" s="170" t="inlineStr">
        <is>
          <t>Parking fee created. Applies to apartments with approved motorbikes.</t>
        </is>
      </c>
      <c r="E26" s="170" t="inlineStr">
        <is>
          <t>Building exists</t>
        </is>
      </c>
      <c r="F26" s="171" t="inlineStr">
        <is>
          <t>Passed</t>
        </is>
      </c>
      <c r="G26" s="170" t="inlineStr">
        <is>
          <t>07/04/2026</t>
        </is>
      </c>
      <c r="H26" s="170" t="inlineStr">
        <is>
          <t>Team</t>
        </is>
      </c>
      <c r="I26" s="171" t="inlineStr">
        <is>
          <t>Passed</t>
        </is>
      </c>
      <c r="J26" s="170" t="inlineStr">
        <is>
          <t>07/04/2026</t>
        </is>
      </c>
      <c r="K26" s="170" t="inlineStr">
        <is>
          <t>Team</t>
        </is>
      </c>
      <c r="L26" s="171" t="inlineStr">
        <is>
          <t>Passed</t>
        </is>
      </c>
      <c r="M26" s="170" t="inlineStr">
        <is>
          <t>07/04/2026</t>
        </is>
      </c>
      <c r="N26" s="170" t="inlineStr">
        <is>
          <t>Team</t>
        </is>
      </c>
    </row>
    <row r="27">
      <c r="A27" s="169" t="inlineStr">
        <is>
          <t>MGMT-14</t>
        </is>
      </c>
      <c r="B27" s="170" t="inlineStr">
        <is>
          <t>Edit fee template amount</t>
        </is>
      </c>
      <c r="C27" s="170" t="inlineStr">
        <is>
          <t>1. Find fee template
2. Click Edit
3. Change amount
4. Save
5. Verify all fields pre-filled correctly</t>
        </is>
      </c>
      <c r="D27" s="170" t="inlineStr">
        <is>
          <t>Form pre-fills all existing values correctly (name, type, unit, amount, dates, minArea/maxArea). Update saved.</t>
        </is>
      </c>
      <c r="E27" s="170" t="inlineStr">
        <is>
          <t>Existing fee template</t>
        </is>
      </c>
      <c r="F27" s="171" t="inlineStr">
        <is>
          <t>Passed</t>
        </is>
      </c>
      <c r="G27" s="170" t="inlineStr">
        <is>
          <t>07/04/2026</t>
        </is>
      </c>
      <c r="H27" s="170" t="inlineStr">
        <is>
          <t>Team</t>
        </is>
      </c>
      <c r="I27" s="171" t="inlineStr">
        <is>
          <t>Passed</t>
        </is>
      </c>
      <c r="J27" s="170" t="inlineStr">
        <is>
          <t>07/04/2026</t>
        </is>
      </c>
      <c r="K27" s="170" t="inlineStr">
        <is>
          <t>Team</t>
        </is>
      </c>
      <c r="L27" s="171" t="inlineStr">
        <is>
          <t>Passed</t>
        </is>
      </c>
      <c r="M27" s="170" t="inlineStr">
        <is>
          <t>07/04/2026</t>
        </is>
      </c>
      <c r="N27" s="170" t="inlineStr">
        <is>
          <t>Team</t>
        </is>
      </c>
    </row>
    <row r="28">
      <c r="A28" s="169" t="inlineStr">
        <is>
          <t>MGMT-15</t>
        </is>
      </c>
      <c r="B28" s="170" t="inlineStr">
        <is>
          <t>Deactivate fee template</t>
        </is>
      </c>
      <c r="C28" s="170" t="inlineStr">
        <is>
          <t>1. Find active fee
2. Click ban icon
3. Confirm</t>
        </is>
      </c>
      <c r="D28" s="170" t="inlineStr">
        <is>
          <t>Status = INACTIVE. No longer included in invoice calculations.</t>
        </is>
      </c>
      <c r="E28" s="170" t="inlineStr">
        <is>
          <t>Active fee template</t>
        </is>
      </c>
      <c r="F28" s="171" t="inlineStr">
        <is>
          <t>Passed</t>
        </is>
      </c>
      <c r="G28" s="170" t="inlineStr">
        <is>
          <t>07/04/2026</t>
        </is>
      </c>
      <c r="H28" s="170" t="inlineStr">
        <is>
          <t>Team</t>
        </is>
      </c>
      <c r="I28" s="171" t="inlineStr">
        <is>
          <t>Passed</t>
        </is>
      </c>
      <c r="J28" s="170" t="inlineStr">
        <is>
          <t>07/04/2026</t>
        </is>
      </c>
      <c r="K28" s="170" t="inlineStr">
        <is>
          <t>Team</t>
        </is>
      </c>
      <c r="L28" s="171" t="inlineStr">
        <is>
          <t>Passed</t>
        </is>
      </c>
      <c r="M28" s="170" t="inlineStr">
        <is>
          <t>07/04/2026</t>
        </is>
      </c>
      <c r="N28" s="170" t="inlineStr">
        <is>
          <t>Team</t>
        </is>
      </c>
    </row>
    <row r="29">
      <c r="A29" s="169" t="inlineStr">
        <is>
          <t>MGMT-16</t>
        </is>
      </c>
      <c r="B29" s="170" t="inlineStr">
        <is>
          <t>Gợi ý theo NĐ — use decree suggestion</t>
        </is>
      </c>
      <c r="C29" s="170" t="inlineStr">
        <is>
          <t>1. Click "Gợi ý theo NĐ"
2. Review QĐ 33/2025 ranges
3. Click "Dùng" for elevator fee</t>
        </is>
      </c>
      <c r="D29" s="170" t="inlineStr">
        <is>
          <t>Fee form pre-filled with correct name/type/unit/amount. Can save directly.</t>
        </is>
      </c>
      <c r="E29" s="170" t="inlineStr">
        <is>
          <t>Admin/Manager logged in</t>
        </is>
      </c>
      <c r="F29" s="171" t="inlineStr">
        <is>
          <t>Passed</t>
        </is>
      </c>
      <c r="G29" s="170" t="inlineStr">
        <is>
          <t>07/04/2026</t>
        </is>
      </c>
      <c r="H29" s="170" t="inlineStr">
        <is>
          <t>Team</t>
        </is>
      </c>
      <c r="I29" s="171" t="inlineStr">
        <is>
          <t>Passed</t>
        </is>
      </c>
      <c r="J29" s="170" t="inlineStr">
        <is>
          <t>07/04/2026</t>
        </is>
      </c>
      <c r="K29" s="170" t="inlineStr">
        <is>
          <t>Team</t>
        </is>
      </c>
      <c r="L29" s="171" t="inlineStr">
        <is>
          <t>Passed</t>
        </is>
      </c>
      <c r="M29" s="170" t="inlineStr">
        <is>
          <t>07/04/2026</t>
        </is>
      </c>
      <c r="N29" s="170" t="inlineStr">
        <is>
          <t>Team</t>
        </is>
      </c>
    </row>
  </sheetData>
  <mergeCells count="3">
    <mergeCell ref="B3:E3"/>
    <mergeCell ref="B2:E2"/>
    <mergeCell ref="B4:E4"/>
  </mergeCells>
  <dataValidations count="2">
    <dataValidation sqref="F10 I10 L10" showDropDown="0" showInputMessage="0" showErrorMessage="1" allowBlank="1"/>
    <dataValidation sqref="F12:F14 F17:F19 G2:G3 G9 G20:G145 I12:I14 I17:I19 J2:J3 J9 J20:J145 L12:L14 L17:L19 M2:M3 M9 M20:M145" showDropDown="0" showInputMessage="0" showErrorMessage="1" allowBlank="1" type="list">
      <formula1>$R$2:$R$5</formula1>
      <formula2>0</formula2>
    </dataValidation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R28"/>
  <sheetViews>
    <sheetView zoomScale="85" zoomScaleNormal="85" workbookViewId="0">
      <pane ySplit="10" topLeftCell="A11" activePane="bottomLeft" state="frozen"/>
      <selection pane="bottomLeft" activeCell="N23" sqref="N23"/>
    </sheetView>
  </sheetViews>
  <sheetFormatPr baseColWidth="8" defaultColWidth="9" defaultRowHeight="13.2" outlineLevelRow="1"/>
  <cols>
    <col width="12" customWidth="1" style="1" min="1" max="1"/>
    <col width="28" customWidth="1" style="1" min="2" max="2"/>
    <col width="32" customWidth="1" style="1" min="3" max="3"/>
    <col width="28" customWidth="1" style="1" min="4" max="4"/>
    <col width="22" customWidth="1" style="1" min="5" max="5"/>
    <col width="9" customWidth="1" style="1" min="6" max="6"/>
    <col outlineLevel="1" width="11" customWidth="1" style="1" min="7" max="7"/>
    <col outlineLevel="1" width="9" bestFit="1" customWidth="1" style="1" min="8" max="8"/>
    <col width="9" customWidth="1" style="1" min="9" max="9"/>
    <col outlineLevel="1" width="11" customWidth="1" style="1" min="10" max="10"/>
    <col outlineLevel="1" width="9" bestFit="1" customWidth="1" style="1" min="11" max="11"/>
    <col width="9" customWidth="1" style="1" min="12" max="12"/>
    <col outlineLevel="1" width="11" customWidth="1" style="1" min="13" max="13"/>
    <col outlineLevel="1" width="9" bestFit="1" customWidth="1" style="1" min="14" max="14"/>
    <col width="28.6640625" customWidth="1" style="1" min="15" max="15"/>
    <col width="10.109375" customWidth="1" style="1" min="16" max="16"/>
    <col width="8.109375" customWidth="1" style="28" min="17" max="17"/>
    <col hidden="1" width="7.6640625" customWidth="1" style="1" min="18" max="18"/>
    <col width="9" customWidth="1" style="1" min="19" max="16384"/>
  </cols>
  <sheetData>
    <row r="1" ht="13.8" customHeight="1" thickBot="1">
      <c r="B1" t="inlineStr">
        <is>
          <t>Workflow Invoice</t>
        </is>
      </c>
    </row>
    <row r="2" ht="15" customFormat="1" customHeight="1" s="30">
      <c r="A2" s="92" t="inlineStr">
        <is>
          <t>Workflow</t>
        </is>
      </c>
      <c r="B2" s="127" t="inlineStr">
        <is>
          <t>UC13–UC17: Create Invoice, View, Update Status, Pay via MoMo</t>
        </is>
      </c>
      <c r="C2" s="147" t="n"/>
      <c r="D2" s="147" t="n"/>
      <c r="E2" s="148" t="n"/>
      <c r="F2" s="82" t="n"/>
      <c r="G2" s="76" t="n"/>
      <c r="H2" s="9" t="n"/>
      <c r="I2" s="82" t="n"/>
      <c r="J2" s="76" t="n"/>
      <c r="K2" s="9" t="n"/>
      <c r="L2" s="82" t="n"/>
      <c r="M2" s="76" t="n"/>
      <c r="N2" s="9" t="n"/>
      <c r="O2" s="9" t="n"/>
      <c r="P2" s="9" t="n"/>
      <c r="Q2" s="29" t="n"/>
      <c r="R2" s="30" t="inlineStr">
        <is>
          <t>Passed</t>
        </is>
      </c>
    </row>
    <row r="3" ht="26.4" customFormat="1" customHeight="1" s="30">
      <c r="A3" s="93" t="inlineStr">
        <is>
          <t>Test requirement</t>
        </is>
      </c>
      <c r="B3" s="129" t="inlineStr">
        <is>
          <t>&lt;Brief description about requirements which are tested in this sheet&gt;</t>
        </is>
      </c>
      <c r="C3" s="149" t="n"/>
      <c r="D3" s="149" t="n"/>
      <c r="E3" s="150" t="n"/>
      <c r="F3" s="82" t="n"/>
      <c r="G3" s="76" t="n"/>
      <c r="H3" s="9" t="n"/>
      <c r="I3" s="82" t="n"/>
      <c r="J3" s="76" t="n"/>
      <c r="K3" s="9" t="n"/>
      <c r="L3" s="82" t="n"/>
      <c r="M3" s="76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93" t="inlineStr">
        <is>
          <t>Number of TCs</t>
        </is>
      </c>
      <c r="B4" s="129">
        <f>COUNTA(A12:A998)</f>
        <v/>
      </c>
      <c r="C4" s="149" t="n"/>
      <c r="D4" s="149" t="n"/>
      <c r="E4" s="150" t="n"/>
      <c r="F4" s="82" t="n"/>
      <c r="G4" s="76" t="n"/>
      <c r="H4" s="9" t="n"/>
      <c r="I4" s="82" t="n"/>
      <c r="J4" s="76" t="n"/>
      <c r="K4" s="9" t="n"/>
      <c r="L4" s="82" t="n"/>
      <c r="M4" s="76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6" t="inlineStr">
        <is>
          <t>Testing Round</t>
        </is>
      </c>
      <c r="B5" s="84" t="inlineStr">
        <is>
          <t>Passed</t>
        </is>
      </c>
      <c r="C5" s="84" t="inlineStr">
        <is>
          <t>Failed</t>
        </is>
      </c>
      <c r="D5" s="84" t="inlineStr">
        <is>
          <t>Pending</t>
        </is>
      </c>
      <c r="E5" s="87" t="inlineStr">
        <is>
          <t>N/A</t>
        </is>
      </c>
      <c r="F5" s="77" t="n"/>
      <c r="G5" s="77" t="n"/>
      <c r="H5" s="31" t="n"/>
      <c r="I5" s="77" t="n"/>
      <c r="J5" s="77" t="n"/>
      <c r="K5" s="31" t="n"/>
      <c r="L5" s="77" t="n"/>
      <c r="M5" s="77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6" t="inlineStr">
        <is>
          <t>Round 1</t>
        </is>
      </c>
      <c r="B6" s="85">
        <f>COUNTIF($F10:$F996,B5)</f>
        <v/>
      </c>
      <c r="C6" s="85">
        <f>COUNTIF($F10:$F996,C5)</f>
        <v/>
      </c>
      <c r="D6" s="85">
        <f>COUNTIF($F10:$F996,D5)</f>
        <v/>
      </c>
      <c r="E6" s="91">
        <f>COUNTIF($F10:$F996,E5)</f>
        <v/>
      </c>
      <c r="F6" s="78" t="n"/>
      <c r="G6" s="78" t="n"/>
      <c r="H6" s="31" t="n"/>
      <c r="I6" s="78" t="n"/>
      <c r="J6" s="78" t="n"/>
      <c r="K6" s="31" t="n"/>
      <c r="L6" s="78" t="n"/>
      <c r="M6" s="78" t="n"/>
      <c r="N6" s="31" t="n"/>
      <c r="O6" s="31" t="n"/>
      <c r="P6" s="31" t="n"/>
      <c r="Q6" s="32" t="n"/>
    </row>
    <row r="7" ht="15" customFormat="1" customHeight="1" s="30">
      <c r="A7" s="86" t="inlineStr">
        <is>
          <t>Round 2</t>
        </is>
      </c>
      <c r="B7" s="85">
        <f>COUNTIF($F10:$F996,B5)</f>
        <v/>
      </c>
      <c r="C7" s="85">
        <f>COUNTIF($F10:$F996,C5)</f>
        <v/>
      </c>
      <c r="D7" s="85">
        <f>COUNTIF($F10:$F996,D5)</f>
        <v/>
      </c>
      <c r="E7" s="91">
        <f>COUNTIF($F10:$F996,E5)</f>
        <v/>
      </c>
      <c r="F7" s="78" t="n"/>
      <c r="G7" s="78" t="n"/>
      <c r="H7" s="31" t="n"/>
      <c r="I7" s="78" t="n"/>
      <c r="J7" s="78" t="n"/>
      <c r="K7" s="31" t="n"/>
      <c r="L7" s="78" t="n"/>
      <c r="M7" s="78" t="n"/>
      <c r="N7" s="31" t="n"/>
      <c r="O7" s="31" t="n"/>
      <c r="P7" s="31" t="n"/>
      <c r="Q7" s="32" t="n"/>
    </row>
    <row r="8" ht="15" customFormat="1" customHeight="1" s="30" thickBot="1">
      <c r="A8" s="88" t="inlineStr">
        <is>
          <t>Round 3</t>
        </is>
      </c>
      <c r="B8" s="89">
        <f>COUNTIF($F10:$F996,B5)</f>
        <v/>
      </c>
      <c r="C8" s="89">
        <f>COUNTIF($F10:$F996,C5)</f>
        <v/>
      </c>
      <c r="D8" s="89">
        <f>COUNTIF($F10:$F996,D5)</f>
        <v/>
      </c>
      <c r="E8" s="90">
        <f>COUNTIF($F10:$F996,E5)</f>
        <v/>
      </c>
      <c r="F8" s="78" t="n"/>
      <c r="G8" s="78" t="n"/>
      <c r="H8" s="31" t="n"/>
      <c r="I8" s="78" t="n"/>
      <c r="J8" s="78" t="n"/>
      <c r="K8" s="31" t="n"/>
      <c r="L8" s="78" t="n"/>
      <c r="M8" s="78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151" t="inlineStr">
        <is>
          <t>Scenario A — Invoice Creation (UC13)</t>
        </is>
      </c>
      <c r="B10" s="152" t="n"/>
      <c r="C10" s="152" t="n"/>
      <c r="D10" s="152" t="n"/>
      <c r="E10" s="152" t="n"/>
      <c r="F10" s="152" t="n"/>
      <c r="G10" s="152" t="n"/>
      <c r="H10" s="152" t="n"/>
      <c r="I10" s="152" t="n"/>
      <c r="J10" s="152" t="n"/>
      <c r="K10" s="152" t="n"/>
      <c r="L10" s="152" t="n"/>
      <c r="M10" s="152" t="n"/>
      <c r="N10" s="152" t="n"/>
      <c r="O10" s="153" t="n"/>
      <c r="P10" s="154" t="n"/>
      <c r="Q10" s="155" t="n"/>
      <c r="R10" s="154" t="n"/>
    </row>
    <row r="11" ht="15.75" customFormat="1" customHeight="1" s="30">
      <c r="A11" s="156" t="inlineStr">
        <is>
          <t>INV-01</t>
        </is>
      </c>
      <c r="B11" s="157" t="inlineStr">
        <is>
          <t>Create invoice — auto-calculate all fee types</t>
        </is>
      </c>
      <c r="C11" s="157" t="inlineStr">
        <is>
          <t>1. Login as Accountant
2. /dashboard/invoices → Create Invoice
3. Select building + apartment + month=4 + year=2026 + dueDate
4. Submit</t>
        </is>
      </c>
      <c r="D11" s="157" t="inlineStr">
        <is>
          <t>Invoice created (UNPAID). Line items: SERVICE fees (rate×area), PARKING fees (rate×vehicle count). Total = sum of lines.</t>
        </is>
      </c>
      <c r="E11" s="157" t="inlineStr">
        <is>
          <t>Apartment with active fee templates + approved vehicles</t>
        </is>
      </c>
      <c r="F11" s="158" t="inlineStr">
        <is>
          <t>Passed</t>
        </is>
      </c>
      <c r="G11" s="157" t="inlineStr">
        <is>
          <t>07/04/2026</t>
        </is>
      </c>
      <c r="H11" s="157" t="inlineStr">
        <is>
          <t>Team</t>
        </is>
      </c>
      <c r="I11" s="158" t="inlineStr">
        <is>
          <t>Passed</t>
        </is>
      </c>
      <c r="J11" s="157" t="inlineStr">
        <is>
          <t>07/04/2026</t>
        </is>
      </c>
      <c r="K11" s="157" t="inlineStr">
        <is>
          <t>Team</t>
        </is>
      </c>
      <c r="L11" s="158" t="inlineStr">
        <is>
          <t>Passed</t>
        </is>
      </c>
      <c r="M11" s="157" t="inlineStr">
        <is>
          <t>07/04/2026</t>
        </is>
      </c>
      <c r="N11" s="157" t="inlineStr">
        <is>
          <t>Team</t>
        </is>
      </c>
      <c r="O11" s="159" t="n"/>
      <c r="P11" s="154" t="n"/>
      <c r="Q11" s="160" t="n"/>
      <c r="R11" s="154" t="n"/>
    </row>
    <row r="12" outlineLevel="1" ht="121.05" customFormat="1" customHeight="1" s="44">
      <c r="A12" s="156" t="inlineStr">
        <is>
          <t>INV-02</t>
        </is>
      </c>
      <c r="B12" s="157" t="inlineStr">
        <is>
          <t>Create invoices for entire building</t>
        </is>
      </c>
      <c r="C12" s="157" t="inlineStr">
        <is>
          <t>1. Create Invoice
2. Select building only (no specific apartment)
3. Submit</t>
        </is>
      </c>
      <c r="D12" s="161" t="inlineStr">
        <is>
          <t>Invoices created for all apartments in building.</t>
        </is>
      </c>
      <c r="E12" s="161" t="inlineStr">
        <is>
          <t>Building with multiple apartments + fee templates</t>
        </is>
      </c>
      <c r="F12" s="158" t="inlineStr">
        <is>
          <t>Passed</t>
        </is>
      </c>
      <c r="G12" s="157" t="inlineStr">
        <is>
          <t>07/04/2026</t>
        </is>
      </c>
      <c r="H12" s="157" t="inlineStr">
        <is>
          <t>Team</t>
        </is>
      </c>
      <c r="I12" s="158" t="inlineStr">
        <is>
          <t>Passed</t>
        </is>
      </c>
      <c r="J12" s="157" t="inlineStr">
        <is>
          <t>07/04/2026</t>
        </is>
      </c>
      <c r="K12" s="157" t="inlineStr">
        <is>
          <t>Team</t>
        </is>
      </c>
      <c r="L12" s="158" t="inlineStr">
        <is>
          <t>Passed</t>
        </is>
      </c>
      <c r="M12" s="157" t="inlineStr">
        <is>
          <t>07/04/2026</t>
        </is>
      </c>
      <c r="N12" s="157" t="inlineStr">
        <is>
          <t>Team</t>
        </is>
      </c>
      <c r="O12" s="162" t="n"/>
      <c r="P12" s="154" t="n"/>
      <c r="Q12" s="163" t="n"/>
      <c r="R12" s="154" t="n"/>
    </row>
    <row r="13" outlineLevel="1">
      <c r="A13" s="156" t="inlineStr">
        <is>
          <t>INV-03</t>
        </is>
      </c>
      <c r="B13" s="157" t="inlineStr">
        <is>
          <t>Duplicate invoice creation rejected</t>
        </is>
      </c>
      <c r="C13" s="157" t="inlineStr">
        <is>
          <t>1. Try to create invoice for same apartment/month/year twice</t>
        </is>
      </c>
      <c r="D13" s="161" t="inlineStr">
        <is>
          <t>Error: "Hóa đơn đã tồn tại". Second invoice NOT created.</t>
        </is>
      </c>
      <c r="E13" s="161" t="inlineStr">
        <is>
          <t>Invoice for that apt/month/year already exists</t>
        </is>
      </c>
      <c r="F13" s="158" t="inlineStr">
        <is>
          <t>Passed</t>
        </is>
      </c>
      <c r="G13" s="157" t="inlineStr">
        <is>
          <t>07/04/2026</t>
        </is>
      </c>
      <c r="H13" s="157" t="inlineStr">
        <is>
          <t>Team</t>
        </is>
      </c>
      <c r="I13" s="158" t="inlineStr">
        <is>
          <t>Passed</t>
        </is>
      </c>
      <c r="J13" s="157" t="inlineStr">
        <is>
          <t>07/04/2026</t>
        </is>
      </c>
      <c r="K13" s="157" t="inlineStr">
        <is>
          <t>Team</t>
        </is>
      </c>
      <c r="L13" s="158" t="inlineStr">
        <is>
          <t>Passed</t>
        </is>
      </c>
      <c r="M13" s="157" t="inlineStr">
        <is>
          <t>07/04/2026</t>
        </is>
      </c>
      <c r="N13" s="157" t="inlineStr">
        <is>
          <t>Team</t>
        </is>
      </c>
      <c r="O13" s="162" t="n"/>
      <c r="P13" s="154" t="n"/>
      <c r="Q13" s="163" t="n"/>
      <c r="R13" s="154" t="n"/>
    </row>
    <row r="14" outlineLevel="1">
      <c r="A14" s="156" t="inlineStr">
        <is>
          <t>INV-04</t>
        </is>
      </c>
      <c r="B14" s="157" t="inlineStr">
        <is>
          <t>Invoice with PER_M2 area-range filtering</t>
        </is>
      </c>
      <c r="C14" s="157" t="inlineStr">
        <is>
          <t>1. Create fee template with minArea=50, maxArea=100
2. Create invoice for 120m² apartment</t>
        </is>
      </c>
      <c r="D14" s="161" t="inlineStr">
        <is>
          <t>Fee NOT applied to 120m² apartment (outside range). Invoice has 0 for that fee line.</t>
        </is>
      </c>
      <c r="E14" s="161" t="inlineStr">
        <is>
          <t>Fee template with area range; apartment outside range</t>
        </is>
      </c>
      <c r="F14" s="158" t="inlineStr">
        <is>
          <t>Passed</t>
        </is>
      </c>
      <c r="G14" s="157" t="inlineStr">
        <is>
          <t>07/04/2026</t>
        </is>
      </c>
      <c r="H14" s="157" t="inlineStr">
        <is>
          <t>Team</t>
        </is>
      </c>
      <c r="I14" s="158" t="inlineStr">
        <is>
          <t>Passed</t>
        </is>
      </c>
      <c r="J14" s="157" t="inlineStr">
        <is>
          <t>07/04/2026</t>
        </is>
      </c>
      <c r="K14" s="157" t="inlineStr">
        <is>
          <t>Team</t>
        </is>
      </c>
      <c r="L14" s="158" t="inlineStr">
        <is>
          <t>Passed</t>
        </is>
      </c>
      <c r="M14" s="157" t="inlineStr">
        <is>
          <t>07/04/2026</t>
        </is>
      </c>
      <c r="N14" s="157" t="inlineStr">
        <is>
          <t>Team</t>
        </is>
      </c>
      <c r="O14" s="162" t="n"/>
      <c r="P14" s="154" t="n"/>
      <c r="Q14" s="163" t="n"/>
      <c r="R14" s="154" t="n"/>
    </row>
    <row r="15" ht="15.75" customFormat="1" customHeight="1" s="30">
      <c r="A15" s="151" t="inlineStr">
        <is>
          <t>Scenario B — View &amp; Search Invoices (UC14)</t>
        </is>
      </c>
      <c r="B15" s="164" t="n"/>
      <c r="C15" s="164" t="n"/>
      <c r="D15" s="164" t="n"/>
      <c r="E15" s="164" t="n"/>
      <c r="F15" s="164" t="n"/>
      <c r="G15" s="164" t="n"/>
      <c r="H15" s="164" t="n"/>
      <c r="I15" s="164" t="n"/>
      <c r="J15" s="164" t="n"/>
      <c r="K15" s="164" t="n"/>
      <c r="L15" s="164" t="n"/>
      <c r="M15" s="164" t="n"/>
      <c r="N15" s="164" t="n"/>
      <c r="O15" s="165" t="n"/>
      <c r="P15" s="154" t="n"/>
      <c r="Q15" s="160" t="n"/>
      <c r="R15" s="154" t="n"/>
    </row>
    <row r="16" outlineLevel="1">
      <c r="A16" s="156" t="inlineStr">
        <is>
          <t>INV-05</t>
        </is>
      </c>
      <c r="B16" s="157" t="inlineStr">
        <is>
          <t>View invoice list — no filters</t>
        </is>
      </c>
      <c r="C16" s="157" t="inlineStr">
        <is>
          <t>1. /dashboard/invoices (load all)</t>
        </is>
      </c>
      <c r="D16" s="157" t="inlineStr">
        <is>
          <t>All invoices shown. Columns: apartment, month/year, total, status, due date.</t>
        </is>
      </c>
      <c r="E16" s="157" t="inlineStr">
        <is>
          <t>At least 1 invoice in DB</t>
        </is>
      </c>
      <c r="F16" s="158" t="inlineStr">
        <is>
          <t>Passed</t>
        </is>
      </c>
      <c r="G16" s="157" t="inlineStr">
        <is>
          <t>07/04/2026</t>
        </is>
      </c>
      <c r="H16" s="157" t="inlineStr">
        <is>
          <t>Team</t>
        </is>
      </c>
      <c r="I16" s="158" t="inlineStr">
        <is>
          <t>Passed</t>
        </is>
      </c>
      <c r="J16" s="157" t="inlineStr">
        <is>
          <t>07/04/2026</t>
        </is>
      </c>
      <c r="K16" s="157" t="inlineStr">
        <is>
          <t>Team</t>
        </is>
      </c>
      <c r="L16" s="158" t="inlineStr">
        <is>
          <t>Passed</t>
        </is>
      </c>
      <c r="M16" s="157" t="inlineStr">
        <is>
          <t>07/04/2026</t>
        </is>
      </c>
      <c r="N16" s="157" t="inlineStr">
        <is>
          <t>Team</t>
        </is>
      </c>
      <c r="O16" s="162" t="n"/>
      <c r="P16" s="154" t="n"/>
      <c r="Q16" s="163" t="n"/>
      <c r="R16" s="154" t="n"/>
    </row>
    <row r="17" outlineLevel="1">
      <c r="A17" s="156" t="inlineStr">
        <is>
          <t>INV-06</t>
        </is>
      </c>
      <c r="B17" s="157" t="inlineStr">
        <is>
          <t>Filter by building + status=UNPAID</t>
        </is>
      </c>
      <c r="C17" s="157" t="inlineStr">
        <is>
          <t>1. Select building
2. Select status=UNPAID
3. Search</t>
        </is>
      </c>
      <c r="D17" s="157" t="inlineStr">
        <is>
          <t>Only UNPAID invoices for selected building shown.</t>
        </is>
      </c>
      <c r="E17" s="157" t="inlineStr">
        <is>
          <t>Invoices with different statuses</t>
        </is>
      </c>
      <c r="F17" s="158" t="inlineStr">
        <is>
          <t>Passed</t>
        </is>
      </c>
      <c r="G17" s="161" t="inlineStr">
        <is>
          <t>07/04/2026</t>
        </is>
      </c>
      <c r="H17" s="161" t="inlineStr">
        <is>
          <t>Team</t>
        </is>
      </c>
      <c r="I17" s="158" t="inlineStr">
        <is>
          <t>Passed</t>
        </is>
      </c>
      <c r="J17" s="161" t="inlineStr">
        <is>
          <t>07/04/2026</t>
        </is>
      </c>
      <c r="K17" s="161" t="inlineStr">
        <is>
          <t>Team</t>
        </is>
      </c>
      <c r="L17" s="158" t="inlineStr">
        <is>
          <t>Passed</t>
        </is>
      </c>
      <c r="M17" s="161" t="inlineStr">
        <is>
          <t>07/04/2026</t>
        </is>
      </c>
      <c r="N17" s="161" t="inlineStr">
        <is>
          <t>Team</t>
        </is>
      </c>
      <c r="O17" s="166" t="n"/>
      <c r="P17" s="154" t="n"/>
      <c r="Q17" s="154" t="n"/>
      <c r="R17" s="154" t="n"/>
    </row>
    <row r="18">
      <c r="A18" s="169" t="inlineStr">
        <is>
          <t>INV-07</t>
        </is>
      </c>
      <c r="B18" s="170" t="inlineStr">
        <is>
          <t>View invoice fee detail breakdown</t>
        </is>
      </c>
      <c r="C18" s="170" t="inlineStr">
        <is>
          <t>1. Click view icon on invoice</t>
        </is>
      </c>
      <c r="D18" s="170" t="inlineStr">
        <is>
          <t>Detail shows: fee name, type, unit price, quantity, subtotal per line. Total = sum.</t>
        </is>
      </c>
      <c r="E18" s="170" t="inlineStr">
        <is>
          <t>Invoice with fee detail records</t>
        </is>
      </c>
      <c r="F18" s="171" t="inlineStr">
        <is>
          <t>Passed</t>
        </is>
      </c>
      <c r="G18" s="170" t="inlineStr">
        <is>
          <t>07/04/2026</t>
        </is>
      </c>
      <c r="H18" s="170" t="inlineStr">
        <is>
          <t>Team</t>
        </is>
      </c>
      <c r="I18" s="171" t="inlineStr">
        <is>
          <t>Passed</t>
        </is>
      </c>
      <c r="J18" s="170" t="inlineStr">
        <is>
          <t>07/04/2026</t>
        </is>
      </c>
      <c r="K18" s="170" t="inlineStr">
        <is>
          <t>Team</t>
        </is>
      </c>
      <c r="L18" s="171" t="inlineStr">
        <is>
          <t>Passed</t>
        </is>
      </c>
      <c r="M18" s="170" t="inlineStr">
        <is>
          <t>07/04/2026</t>
        </is>
      </c>
      <c r="N18" s="170" t="inlineStr">
        <is>
          <t>Team</t>
        </is>
      </c>
    </row>
    <row r="19">
      <c r="A19" s="172" t="inlineStr">
        <is>
          <t>Scenario C — Update Invoice Status (UC15)</t>
        </is>
      </c>
      <c r="B19" s="173" t="n"/>
      <c r="C19" s="173" t="n"/>
      <c r="D19" s="173" t="n"/>
      <c r="E19" s="173" t="n"/>
      <c r="F19" s="173" t="n"/>
      <c r="G19" s="173" t="n"/>
      <c r="H19" s="173" t="n"/>
      <c r="I19" s="173" t="n"/>
      <c r="J19" s="173" t="n"/>
      <c r="K19" s="173" t="n"/>
      <c r="L19" s="173" t="n"/>
      <c r="M19" s="173" t="n"/>
      <c r="N19" s="173" t="n"/>
    </row>
    <row r="20">
      <c r="A20" s="169" t="inlineStr">
        <is>
          <t>INV-08</t>
        </is>
      </c>
      <c r="B20" s="170" t="inlineStr">
        <is>
          <t>Manually mark invoice as PAID (cash)</t>
        </is>
      </c>
      <c r="C20" s="170" t="inlineStr">
        <is>
          <t>1. Find UNPAID invoice
2. Update Status → PAID
3. Confirm</t>
        </is>
      </c>
      <c r="D20" s="170" t="inlineStr">
        <is>
          <t>Invoice = PAID. paid_at timestamp set.</t>
        </is>
      </c>
      <c r="E20" s="170" t="inlineStr">
        <is>
          <t>UNPAID invoice; Admin/Manager logged in</t>
        </is>
      </c>
      <c r="F20" s="171" t="inlineStr">
        <is>
          <t>Passed</t>
        </is>
      </c>
      <c r="G20" s="170" t="inlineStr">
        <is>
          <t>07/04/2026</t>
        </is>
      </c>
      <c r="H20" s="170" t="inlineStr">
        <is>
          <t>Team</t>
        </is>
      </c>
      <c r="I20" s="171" t="inlineStr">
        <is>
          <t>Passed</t>
        </is>
      </c>
      <c r="J20" s="170" t="inlineStr">
        <is>
          <t>07/04/2026</t>
        </is>
      </c>
      <c r="K20" s="170" t="inlineStr">
        <is>
          <t>Team</t>
        </is>
      </c>
      <c r="L20" s="171" t="inlineStr">
        <is>
          <t>Passed</t>
        </is>
      </c>
      <c r="M20" s="170" t="inlineStr">
        <is>
          <t>07/04/2026</t>
        </is>
      </c>
      <c r="N20" s="170" t="inlineStr">
        <is>
          <t>Team</t>
        </is>
      </c>
    </row>
    <row r="21">
      <c r="A21" s="169" t="inlineStr">
        <is>
          <t>INV-09</t>
        </is>
      </c>
      <c r="B21" s="170" t="inlineStr">
        <is>
          <t>OVERDUE invoice after scheduler runs</t>
        </is>
      </c>
      <c r="C21" s="170" t="inlineStr">
        <is>
          <t>1. Create UNPAID invoice with due_date = yesterday
2. Scheduler runs (or manually trigger)
3. Check invoice status</t>
        </is>
      </c>
      <c r="D21" s="170" t="inlineStr">
        <is>
          <t>Invoice = OVERDUE. Resident received notification + email.</t>
        </is>
      </c>
      <c r="E21" s="170" t="inlineStr">
        <is>
          <t>UNPAID invoice with past due_date</t>
        </is>
      </c>
      <c r="F21" s="171" t="inlineStr">
        <is>
          <t>Passed</t>
        </is>
      </c>
      <c r="G21" s="170" t="inlineStr">
        <is>
          <t>07/04/2026</t>
        </is>
      </c>
      <c r="H21" s="170" t="inlineStr">
        <is>
          <t>Team</t>
        </is>
      </c>
      <c r="I21" s="171" t="inlineStr">
        <is>
          <t>Passed</t>
        </is>
      </c>
      <c r="J21" s="170" t="inlineStr">
        <is>
          <t>07/04/2026</t>
        </is>
      </c>
      <c r="K21" s="170" t="inlineStr">
        <is>
          <t>Team</t>
        </is>
      </c>
      <c r="L21" s="171" t="inlineStr">
        <is>
          <t>Passed</t>
        </is>
      </c>
      <c r="M21" s="170" t="inlineStr">
        <is>
          <t>07/04/2026</t>
        </is>
      </c>
      <c r="N21" s="170" t="inlineStr">
        <is>
          <t>Team</t>
        </is>
      </c>
    </row>
    <row r="22">
      <c r="A22" s="172" t="inlineStr">
        <is>
          <t>Scenario D — Resident Invoice View (UC16)</t>
        </is>
      </c>
      <c r="B22" s="173" t="n"/>
      <c r="C22" s="173" t="n"/>
      <c r="D22" s="173" t="n"/>
      <c r="E22" s="173" t="n"/>
      <c r="F22" s="173" t="n"/>
      <c r="G22" s="173" t="n"/>
      <c r="H22" s="173" t="n"/>
      <c r="I22" s="173" t="n"/>
      <c r="J22" s="173" t="n"/>
      <c r="K22" s="173" t="n"/>
      <c r="L22" s="173" t="n"/>
      <c r="M22" s="173" t="n"/>
      <c r="N22" s="173" t="n"/>
    </row>
    <row r="23">
      <c r="A23" s="169" t="inlineStr">
        <is>
          <t>INV-10</t>
        </is>
      </c>
      <c r="B23" s="170" t="inlineStr">
        <is>
          <t>Resident views own invoices</t>
        </is>
      </c>
      <c r="C23" s="170" t="inlineStr">
        <is>
          <t>1. Login as Resident
2. /resident/invoices</t>
        </is>
      </c>
      <c r="D23" s="170" t="inlineStr">
        <is>
          <t>Only invoices for this resident's apartment shown. Fee breakdown per invoice visible.</t>
        </is>
      </c>
      <c r="E23" s="170" t="inlineStr">
        <is>
          <t>Active resident with apartment + invoices</t>
        </is>
      </c>
      <c r="F23" s="171" t="inlineStr">
        <is>
          <t>Passed</t>
        </is>
      </c>
      <c r="G23" s="170" t="inlineStr">
        <is>
          <t>07/04/2026</t>
        </is>
      </c>
      <c r="H23" s="170" t="inlineStr">
        <is>
          <t>Team</t>
        </is>
      </c>
      <c r="I23" s="171" t="inlineStr">
        <is>
          <t>Passed</t>
        </is>
      </c>
      <c r="J23" s="170" t="inlineStr">
        <is>
          <t>07/04/2026</t>
        </is>
      </c>
      <c r="K23" s="170" t="inlineStr">
        <is>
          <t>Team</t>
        </is>
      </c>
      <c r="L23" s="171" t="inlineStr">
        <is>
          <t>Passed</t>
        </is>
      </c>
      <c r="M23" s="170" t="inlineStr">
        <is>
          <t>07/04/2026</t>
        </is>
      </c>
      <c r="N23" s="170" t="inlineStr">
        <is>
          <t>Team</t>
        </is>
      </c>
    </row>
    <row r="24">
      <c r="A24" s="169" t="inlineStr">
        <is>
          <t>INV-11</t>
        </is>
      </c>
      <c r="B24" s="170" t="inlineStr">
        <is>
          <t>Resident filters by month/year</t>
        </is>
      </c>
      <c r="C24" s="170" t="inlineStr">
        <is>
          <t>1. Select filterType=month, month=4, year=2026</t>
        </is>
      </c>
      <c r="D24" s="170" t="inlineStr">
        <is>
          <t>Only April 2026 invoice shown (or empty).</t>
        </is>
      </c>
      <c r="E24" s="170" t="inlineStr">
        <is>
          <t>Resident with multiple invoices</t>
        </is>
      </c>
      <c r="F24" s="171" t="inlineStr">
        <is>
          <t>Passed</t>
        </is>
      </c>
      <c r="G24" s="170" t="inlineStr">
        <is>
          <t>07/04/2026</t>
        </is>
      </c>
      <c r="H24" s="170" t="inlineStr">
        <is>
          <t>Team</t>
        </is>
      </c>
      <c r="I24" s="171" t="inlineStr">
        <is>
          <t>Passed</t>
        </is>
      </c>
      <c r="J24" s="170" t="inlineStr">
        <is>
          <t>07/04/2026</t>
        </is>
      </c>
      <c r="K24" s="170" t="inlineStr">
        <is>
          <t>Team</t>
        </is>
      </c>
      <c r="L24" s="171" t="inlineStr">
        <is>
          <t>Passed</t>
        </is>
      </c>
      <c r="M24" s="170" t="inlineStr">
        <is>
          <t>07/04/2026</t>
        </is>
      </c>
      <c r="N24" s="170" t="inlineStr">
        <is>
          <t>Team</t>
        </is>
      </c>
    </row>
    <row r="25">
      <c r="A25" s="172" t="inlineStr">
        <is>
          <t>Scenario E — MoMo Payment (UC17)</t>
        </is>
      </c>
      <c r="B25" s="173" t="n"/>
      <c r="C25" s="173" t="n"/>
      <c r="D25" s="173" t="n"/>
      <c r="E25" s="173" t="n"/>
      <c r="F25" s="173" t="n"/>
      <c r="G25" s="173" t="n"/>
      <c r="H25" s="173" t="n"/>
      <c r="I25" s="173" t="n"/>
      <c r="J25" s="173" t="n"/>
      <c r="K25" s="173" t="n"/>
      <c r="L25" s="173" t="n"/>
      <c r="M25" s="173" t="n"/>
      <c r="N25" s="173" t="n"/>
    </row>
    <row r="26">
      <c r="A26" s="169" t="inlineStr">
        <is>
          <t>INV-12</t>
        </is>
      </c>
      <c r="B26" s="170" t="inlineStr">
        <is>
          <t>Initiate MoMo payment</t>
        </is>
      </c>
      <c r="C26" s="170" t="inlineStr">
        <is>
          <t>1. Login as Resident
2. /resident/invoices → click "Thanh toán qua MoMo"
3. Observe redirect</t>
        </is>
      </c>
      <c r="D26" s="170" t="inlineStr">
        <is>
          <t>System creates payment session. Resident redirected to MoMo URL/deeplink.</t>
        </is>
      </c>
      <c r="E26" s="170" t="inlineStr">
        <is>
          <t>UNPAID invoice; MoMo sandbox credentials configured</t>
        </is>
      </c>
      <c r="F26" s="171" t="inlineStr">
        <is>
          <t>Passed</t>
        </is>
      </c>
      <c r="G26" s="170" t="inlineStr">
        <is>
          <t>07/04/2026</t>
        </is>
      </c>
      <c r="H26" s="170" t="inlineStr">
        <is>
          <t>Team</t>
        </is>
      </c>
      <c r="I26" s="171" t="inlineStr">
        <is>
          <t>Passed</t>
        </is>
      </c>
      <c r="J26" s="170" t="inlineStr">
        <is>
          <t>07/04/2026</t>
        </is>
      </c>
      <c r="K26" s="170" t="inlineStr">
        <is>
          <t>Team</t>
        </is>
      </c>
      <c r="L26" s="171" t="inlineStr">
        <is>
          <t>Passed</t>
        </is>
      </c>
      <c r="M26" s="170" t="inlineStr">
        <is>
          <t>07/04/2026</t>
        </is>
      </c>
      <c r="N26" s="170" t="inlineStr">
        <is>
          <t>Team</t>
        </is>
      </c>
    </row>
    <row r="27">
      <c r="A27" s="169" t="inlineStr">
        <is>
          <t>INV-13</t>
        </is>
      </c>
      <c r="B27" s="170" t="inlineStr">
        <is>
          <t>MoMo IPN callback marks invoice PAID</t>
        </is>
      </c>
      <c r="C27" s="170" t="inlineStr">
        <is>
          <t>1. Complete payment in MoMo sandbox
2. MoMo sends IPN to /api/momo/ipn
3. Refresh invoice</t>
        </is>
      </c>
      <c r="D27" s="170" t="inlineStr">
        <is>
          <t>Invoice = PAID. paid_at set. Payments record created with momo_trans_id.</t>
        </is>
      </c>
      <c r="E27" s="170" t="inlineStr">
        <is>
          <t>Completed MoMo payment + sandbox IPN configured</t>
        </is>
      </c>
      <c r="F27" s="171" t="inlineStr">
        <is>
          <t>Passed</t>
        </is>
      </c>
      <c r="G27" s="170" t="inlineStr">
        <is>
          <t>07/04/2026</t>
        </is>
      </c>
      <c r="H27" s="170" t="inlineStr">
        <is>
          <t>Team</t>
        </is>
      </c>
      <c r="I27" s="171" t="inlineStr">
        <is>
          <t>Passed</t>
        </is>
      </c>
      <c r="J27" s="170" t="inlineStr">
        <is>
          <t>07/04/2026</t>
        </is>
      </c>
      <c r="K27" s="170" t="inlineStr">
        <is>
          <t>Team</t>
        </is>
      </c>
      <c r="L27" s="171" t="inlineStr">
        <is>
          <t>Passed</t>
        </is>
      </c>
      <c r="M27" s="170" t="inlineStr">
        <is>
          <t>07/04/2026</t>
        </is>
      </c>
      <c r="N27" s="170" t="inlineStr">
        <is>
          <t>Team</t>
        </is>
      </c>
    </row>
    <row r="28">
      <c r="A28" s="169" t="inlineStr">
        <is>
          <t>INV-14</t>
        </is>
      </c>
      <c r="B28" s="170" t="inlineStr">
        <is>
          <t>Invalid MoMo IPN signature rejected</t>
        </is>
      </c>
      <c r="C28" s="170" t="inlineStr">
        <is>
          <t>1. Send POST to /api/momo/ipn with invalid signature
2. Check invoice</t>
        </is>
      </c>
      <c r="D28" s="170" t="inlineStr">
        <is>
          <t>IPN rejected. Invoice status unchanged.</t>
        </is>
      </c>
      <c r="E28" s="170" t="inlineStr">
        <is>
          <t>UNPAID invoice</t>
        </is>
      </c>
      <c r="F28" s="171" t="inlineStr">
        <is>
          <t>Passed</t>
        </is>
      </c>
      <c r="G28" s="170" t="inlineStr">
        <is>
          <t>07/04/2026</t>
        </is>
      </c>
      <c r="H28" s="170" t="inlineStr">
        <is>
          <t>Team</t>
        </is>
      </c>
      <c r="I28" s="171" t="inlineStr">
        <is>
          <t>Passed</t>
        </is>
      </c>
      <c r="J28" s="170" t="inlineStr">
        <is>
          <t>07/04/2026</t>
        </is>
      </c>
      <c r="K28" s="170" t="inlineStr">
        <is>
          <t>Team</t>
        </is>
      </c>
      <c r="L28" s="171" t="inlineStr">
        <is>
          <t>Passed</t>
        </is>
      </c>
      <c r="M28" s="170" t="inlineStr">
        <is>
          <t>07/04/2026</t>
        </is>
      </c>
      <c r="N28" s="170" t="inlineStr">
        <is>
          <t>Team</t>
        </is>
      </c>
    </row>
  </sheetData>
  <mergeCells count="3">
    <mergeCell ref="B3:E3"/>
    <mergeCell ref="B2:E2"/>
    <mergeCell ref="B4:E4"/>
  </mergeCells>
  <dataValidations count="2">
    <dataValidation sqref="F12:F17 G2:G3 G9 G18:G145 I12:I17 J2:J3 J9 J18:J145 L12:L17 M2:M3 M9 M18:M145" showDropDown="0" showInputMessage="0" showErrorMessage="1" allowBlank="1" type="list">
      <formula1>$R$2:$R$5</formula1>
      <formula2>0</formula2>
    </dataValidation>
    <dataValidation sqref="F10 I10 L10" showDropDown="0" showInputMessage="0" showErrorMessage="1" allowBlank="1"/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36"/>
  <sheetViews>
    <sheetView tabSelected="1" topLeftCell="C1" zoomScale="85" zoomScaleNormal="85" workbookViewId="0">
      <pane ySplit="10" topLeftCell="A11" activePane="bottomLeft" state="frozen"/>
      <selection pane="bottomLeft" activeCell="N23" sqref="N23"/>
    </sheetView>
  </sheetViews>
  <sheetFormatPr baseColWidth="8" defaultColWidth="9" defaultRowHeight="13.2" outlineLevelRow="1"/>
  <cols>
    <col width="12" customWidth="1" style="1" min="1" max="1"/>
    <col width="28" customWidth="1" style="1" min="2" max="2"/>
    <col width="32" customWidth="1" style="1" min="3" max="3"/>
    <col width="28" customWidth="1" style="1" min="4" max="4"/>
    <col width="22" customWidth="1" style="1" min="5" max="5"/>
    <col width="9" customWidth="1" style="1" min="6" max="6"/>
    <col outlineLevel="1" width="11" customWidth="1" style="1" min="7" max="7"/>
    <col outlineLevel="1" width="9" bestFit="1" customWidth="1" style="1" min="8" max="8"/>
    <col width="9" customWidth="1" style="1" min="9" max="9"/>
    <col outlineLevel="1" width="11" customWidth="1" style="1" min="10" max="10"/>
    <col outlineLevel="1" width="9" bestFit="1" customWidth="1" style="1" min="11" max="11"/>
    <col width="9" customWidth="1" style="1" min="12" max="12"/>
    <col outlineLevel="1" width="11" customWidth="1" style="1" min="13" max="13"/>
    <col outlineLevel="1" width="9" bestFit="1" customWidth="1" style="1" min="14" max="14"/>
    <col width="28.6640625" customWidth="1" style="1" min="15" max="15"/>
    <col width="10.109375" customWidth="1" style="1" min="16" max="16"/>
    <col width="8.109375" customWidth="1" style="28" min="17" max="17"/>
    <col hidden="1" width="7.6640625" customWidth="1" style="1" min="18" max="18"/>
    <col width="9" customWidth="1" style="1" min="19" max="16384"/>
  </cols>
  <sheetData>
    <row r="1" ht="13.8" customHeight="1" thickBot="1">
      <c r="B1" t="inlineStr">
        <is>
          <t>Workflow Request</t>
        </is>
      </c>
    </row>
    <row r="2" ht="15" customFormat="1" customHeight="1" s="30">
      <c r="A2" s="92" t="inlineStr">
        <is>
          <t>Workflow</t>
        </is>
      </c>
      <c r="B2" s="127" t="inlineStr">
        <is>
          <t>UC18–UC29: Service Requests, Vehicles, Notifications, Apartment Info</t>
        </is>
      </c>
      <c r="C2" s="147" t="n"/>
      <c r="D2" s="147" t="n"/>
      <c r="E2" s="148" t="n"/>
      <c r="F2" s="82" t="n"/>
      <c r="G2" s="76" t="n"/>
      <c r="H2" s="9" t="n"/>
      <c r="I2" s="82" t="n"/>
      <c r="J2" s="76" t="n"/>
      <c r="K2" s="9" t="n"/>
      <c r="L2" s="82" t="n"/>
      <c r="M2" s="76" t="n"/>
      <c r="N2" s="9" t="n"/>
      <c r="O2" s="9" t="n"/>
      <c r="P2" s="9" t="n"/>
      <c r="Q2" s="29" t="n"/>
      <c r="R2" s="30" t="inlineStr">
        <is>
          <t>Passed</t>
        </is>
      </c>
    </row>
    <row r="3" ht="26.4" customFormat="1" customHeight="1" s="30">
      <c r="A3" s="93" t="inlineStr">
        <is>
          <t>Test requirement</t>
        </is>
      </c>
      <c r="B3" s="129" t="inlineStr">
        <is>
          <t>&lt;Brief description about requirements which are tested in this sheet&gt;</t>
        </is>
      </c>
      <c r="C3" s="149" t="n"/>
      <c r="D3" s="149" t="n"/>
      <c r="E3" s="150" t="n"/>
      <c r="F3" s="82" t="n"/>
      <c r="G3" s="76" t="n"/>
      <c r="H3" s="9" t="n"/>
      <c r="I3" s="82" t="n"/>
      <c r="J3" s="76" t="n"/>
      <c r="K3" s="9" t="n"/>
      <c r="L3" s="82" t="n"/>
      <c r="M3" s="76" t="n"/>
      <c r="N3" s="9" t="n"/>
      <c r="O3" s="9" t="n"/>
      <c r="P3" s="9" t="n"/>
      <c r="Q3" s="29" t="n"/>
      <c r="R3" s="30" t="inlineStr">
        <is>
          <t>Failed</t>
        </is>
      </c>
    </row>
    <row r="4" ht="18" customFormat="1" customHeight="1" s="30">
      <c r="A4" s="93" t="inlineStr">
        <is>
          <t>Number of TCs</t>
        </is>
      </c>
      <c r="B4" s="129">
        <f>COUNTA(A12:A998)</f>
        <v/>
      </c>
      <c r="C4" s="149" t="n"/>
      <c r="D4" s="149" t="n"/>
      <c r="E4" s="150" t="n"/>
      <c r="F4" s="82" t="n"/>
      <c r="G4" s="76" t="n"/>
      <c r="H4" s="9" t="n"/>
      <c r="I4" s="82" t="n"/>
      <c r="J4" s="76" t="n"/>
      <c r="K4" s="9" t="n"/>
      <c r="L4" s="82" t="n"/>
      <c r="M4" s="76" t="n"/>
      <c r="N4" s="9" t="n"/>
      <c r="O4" s="9" t="n"/>
      <c r="P4" s="9" t="n"/>
      <c r="Q4" s="29" t="n"/>
      <c r="R4" s="30" t="inlineStr">
        <is>
          <t>Pending</t>
        </is>
      </c>
    </row>
    <row r="5" ht="19.5" customFormat="1" customHeight="1" s="30">
      <c r="A5" s="86" t="inlineStr">
        <is>
          <t>Testing Round</t>
        </is>
      </c>
      <c r="B5" s="84" t="inlineStr">
        <is>
          <t>Passed</t>
        </is>
      </c>
      <c r="C5" s="84" t="inlineStr">
        <is>
          <t>Failed</t>
        </is>
      </c>
      <c r="D5" s="84" t="inlineStr">
        <is>
          <t>Pending</t>
        </is>
      </c>
      <c r="E5" s="87" t="inlineStr">
        <is>
          <t>N/A</t>
        </is>
      </c>
      <c r="F5" s="77" t="n"/>
      <c r="G5" s="77" t="n"/>
      <c r="H5" s="31" t="n"/>
      <c r="I5" s="77" t="n"/>
      <c r="J5" s="77" t="n"/>
      <c r="K5" s="31" t="n"/>
      <c r="L5" s="77" t="n"/>
      <c r="M5" s="77" t="n"/>
      <c r="N5" s="31" t="n"/>
      <c r="O5" s="31" t="n"/>
      <c r="P5" s="31" t="n"/>
      <c r="Q5" s="32" t="n"/>
      <c r="R5" s="30" t="inlineStr">
        <is>
          <t>N/A</t>
        </is>
      </c>
    </row>
    <row r="6" ht="15" customFormat="1" customHeight="1" s="30">
      <c r="A6" s="86" t="inlineStr">
        <is>
          <t>Round 1</t>
        </is>
      </c>
      <c r="B6" s="85">
        <f>COUNTIF($F10:$F996,B5)</f>
        <v/>
      </c>
      <c r="C6" s="85">
        <f>COUNTIF($F10:$F996,C5)</f>
        <v/>
      </c>
      <c r="D6" s="85">
        <f>COUNTIF($F10:$F996,D5)</f>
        <v/>
      </c>
      <c r="E6" s="91">
        <f>COUNTIF($F10:$F996,E5)</f>
        <v/>
      </c>
      <c r="F6" s="78" t="n"/>
      <c r="G6" s="78" t="n"/>
      <c r="H6" s="31" t="n"/>
      <c r="I6" s="78" t="n"/>
      <c r="J6" s="78" t="n"/>
      <c r="K6" s="31" t="n"/>
      <c r="L6" s="78" t="n"/>
      <c r="M6" s="78" t="n"/>
      <c r="N6" s="31" t="n"/>
      <c r="O6" s="31" t="n"/>
      <c r="P6" s="31" t="n"/>
      <c r="Q6" s="32" t="n"/>
    </row>
    <row r="7" ht="15" customFormat="1" customHeight="1" s="30">
      <c r="A7" s="86" t="inlineStr">
        <is>
          <t>Round 2</t>
        </is>
      </c>
      <c r="B7" s="85">
        <f>COUNTIF($F10:$F996,B5)</f>
        <v/>
      </c>
      <c r="C7" s="85">
        <f>COUNTIF($F10:$F996,C5)</f>
        <v/>
      </c>
      <c r="D7" s="85">
        <f>COUNTIF($F10:$F996,D5)</f>
        <v/>
      </c>
      <c r="E7" s="91">
        <f>COUNTIF($F10:$F996,E5)</f>
        <v/>
      </c>
      <c r="F7" s="78" t="n"/>
      <c r="G7" s="78" t="n"/>
      <c r="H7" s="31" t="n"/>
      <c r="I7" s="78" t="n"/>
      <c r="J7" s="78" t="n"/>
      <c r="K7" s="31" t="n"/>
      <c r="L7" s="78" t="n"/>
      <c r="M7" s="78" t="n"/>
      <c r="N7" s="31" t="n"/>
      <c r="O7" s="31" t="n"/>
      <c r="P7" s="31" t="n"/>
      <c r="Q7" s="32" t="n"/>
    </row>
    <row r="8" ht="15" customFormat="1" customHeight="1" s="30" thickBot="1">
      <c r="A8" s="88" t="inlineStr">
        <is>
          <t>Round 3</t>
        </is>
      </c>
      <c r="B8" s="89">
        <f>COUNTIF($F10:$F996,B5)</f>
        <v/>
      </c>
      <c r="C8" s="89">
        <f>COUNTIF($F10:$F996,C5)</f>
        <v/>
      </c>
      <c r="D8" s="89">
        <f>COUNTIF($F10:$F996,D5)</f>
        <v/>
      </c>
      <c r="E8" s="90">
        <f>COUNTIF($F10:$F996,E5)</f>
        <v/>
      </c>
      <c r="F8" s="78" t="n"/>
      <c r="G8" s="78" t="n"/>
      <c r="H8" s="31" t="n"/>
      <c r="I8" s="78" t="n"/>
      <c r="J8" s="78" t="n"/>
      <c r="K8" s="31" t="n"/>
      <c r="L8" s="78" t="n"/>
      <c r="M8" s="78" t="n"/>
      <c r="N8" s="31" t="n"/>
      <c r="O8" s="31" t="n"/>
      <c r="P8" s="31" t="n"/>
      <c r="Q8" s="32" t="n"/>
    </row>
    <row r="9" ht="15" customFormat="1" customHeight="1" s="30">
      <c r="A9" s="31" t="n"/>
      <c r="B9" s="31" t="n"/>
      <c r="C9" s="31" t="n"/>
      <c r="D9" s="31" t="n"/>
      <c r="E9" s="31" t="n"/>
      <c r="F9" s="33" t="n"/>
      <c r="G9" s="31" t="n"/>
      <c r="H9" s="31" t="n"/>
      <c r="I9" s="33" t="n"/>
      <c r="J9" s="31" t="n"/>
      <c r="K9" s="31" t="n"/>
      <c r="L9" s="33" t="n"/>
      <c r="M9" s="31" t="n"/>
      <c r="N9" s="31" t="n"/>
      <c r="O9" s="31" t="n"/>
      <c r="P9" s="31" t="n"/>
      <c r="Q9" s="32" t="n"/>
    </row>
    <row r="10" ht="25.5" customFormat="1" customHeight="1" s="30">
      <c r="A10" s="151" t="inlineStr">
        <is>
          <t>Scenario A — Submit Service Request (UC18)</t>
        </is>
      </c>
      <c r="B10" s="152" t="n"/>
      <c r="C10" s="152" t="n"/>
      <c r="D10" s="152" t="n"/>
      <c r="E10" s="152" t="n"/>
      <c r="F10" s="152" t="n"/>
      <c r="G10" s="152" t="n"/>
      <c r="H10" s="152" t="n"/>
      <c r="I10" s="152" t="n"/>
      <c r="J10" s="152" t="n"/>
      <c r="K10" s="152" t="n"/>
      <c r="L10" s="152" t="n"/>
      <c r="M10" s="152" t="n"/>
      <c r="N10" s="152" t="n"/>
      <c r="O10" s="153" t="n"/>
      <c r="P10" s="154" t="n"/>
      <c r="Q10" s="155" t="n"/>
      <c r="R10" s="154" t="n"/>
    </row>
    <row r="11" ht="15.75" customFormat="1" customHeight="1" s="30">
      <c r="A11" s="156" t="inlineStr">
        <is>
          <t>REQ-01</t>
        </is>
      </c>
      <c r="B11" s="157" t="inlineStr">
        <is>
          <t>Resident submits request</t>
        </is>
      </c>
      <c r="C11" s="157" t="inlineStr">
        <is>
          <t>1. Login as Resident
2. /resident/requests → Submit Request
3. Fill title, description, category=ELECTRIC, priority=MEDIUM
4. Submit</t>
        </is>
      </c>
      <c r="D11" s="157" t="inlineStr">
        <is>
          <t>Request created (PENDING). Visible in resident list and staff list.</t>
        </is>
      </c>
      <c r="E11" s="157" t="inlineStr">
        <is>
          <t>Active resident with apartment</t>
        </is>
      </c>
      <c r="F11" s="158" t="inlineStr">
        <is>
          <t>Passed</t>
        </is>
      </c>
      <c r="G11" s="157" t="inlineStr">
        <is>
          <t>07/04/2026</t>
        </is>
      </c>
      <c r="H11" s="157" t="inlineStr">
        <is>
          <t>Team</t>
        </is>
      </c>
      <c r="I11" s="158" t="inlineStr">
        <is>
          <t>Passed</t>
        </is>
      </c>
      <c r="J11" s="157" t="inlineStr">
        <is>
          <t>07/04/2026</t>
        </is>
      </c>
      <c r="K11" s="157" t="inlineStr">
        <is>
          <t>Team</t>
        </is>
      </c>
      <c r="L11" s="158" t="inlineStr">
        <is>
          <t>Passed</t>
        </is>
      </c>
      <c r="M11" s="157" t="inlineStr">
        <is>
          <t>07/04/2026</t>
        </is>
      </c>
      <c r="N11" s="157" t="inlineStr">
        <is>
          <t>Team</t>
        </is>
      </c>
      <c r="O11" s="159" t="n"/>
      <c r="P11" s="154" t="n"/>
      <c r="Q11" s="160" t="n"/>
      <c r="R11" s="154" t="n"/>
    </row>
    <row r="12" outlineLevel="1" ht="121.05" customFormat="1" customHeight="1" s="44">
      <c r="A12" s="156" t="inlineStr">
        <is>
          <t>REQ-02</t>
        </is>
      </c>
      <c r="B12" s="157" t="inlineStr">
        <is>
          <t>Submit with blank required fields</t>
        </is>
      </c>
      <c r="C12" s="157" t="inlineStr">
        <is>
          <t>1. Leave title or description blank
2. Submit</t>
        </is>
      </c>
      <c r="D12" s="161" t="inlineStr">
        <is>
          <t>Validation error. Request not created.</t>
        </is>
      </c>
      <c r="E12" s="161" t="inlineStr">
        <is>
          <t>Active resident</t>
        </is>
      </c>
      <c r="F12" s="158" t="inlineStr">
        <is>
          <t>Passed</t>
        </is>
      </c>
      <c r="G12" s="157" t="inlineStr">
        <is>
          <t>07/04/2026</t>
        </is>
      </c>
      <c r="H12" s="157" t="inlineStr">
        <is>
          <t>Team</t>
        </is>
      </c>
      <c r="I12" s="158" t="inlineStr">
        <is>
          <t>Passed</t>
        </is>
      </c>
      <c r="J12" s="157" t="inlineStr">
        <is>
          <t>07/04/2026</t>
        </is>
      </c>
      <c r="K12" s="157" t="inlineStr">
        <is>
          <t>Team</t>
        </is>
      </c>
      <c r="L12" s="158" t="inlineStr">
        <is>
          <t>Passed</t>
        </is>
      </c>
      <c r="M12" s="157" t="inlineStr">
        <is>
          <t>07/04/2026</t>
        </is>
      </c>
      <c r="N12" s="157" t="inlineStr">
        <is>
          <t>Team</t>
        </is>
      </c>
      <c r="O12" s="162" t="n"/>
      <c r="P12" s="154" t="n"/>
      <c r="Q12" s="163" t="n"/>
      <c r="R12" s="154" t="n"/>
    </row>
    <row r="13" outlineLevel="1">
      <c r="A13" s="151" t="inlineStr">
        <is>
          <t>Scenario B — Staff Manages Requests (UC22)</t>
        </is>
      </c>
      <c r="B13" s="167" t="n"/>
      <c r="C13" s="167" t="n"/>
      <c r="D13" s="168" t="n"/>
      <c r="E13" s="168" t="n"/>
      <c r="F13" s="167" t="n"/>
      <c r="G13" s="167" t="n"/>
      <c r="H13" s="167" t="n"/>
      <c r="I13" s="167" t="n"/>
      <c r="J13" s="167" t="n"/>
      <c r="K13" s="167" t="n"/>
      <c r="L13" s="167" t="n"/>
      <c r="M13" s="167" t="n"/>
      <c r="N13" s="167" t="n"/>
      <c r="O13" s="162" t="n"/>
      <c r="P13" s="154" t="n"/>
      <c r="Q13" s="163" t="n"/>
      <c r="R13" s="154" t="n"/>
    </row>
    <row r="14" outlineLevel="1">
      <c r="A14" s="156" t="inlineStr">
        <is>
          <t>REQ-03</t>
        </is>
      </c>
      <c r="B14" s="157" t="inlineStr">
        <is>
          <t>Manager assigns request to Technician</t>
        </is>
      </c>
      <c r="C14" s="157" t="inlineStr">
        <is>
          <t>1. Login as Manager
2. /dashboard/service-requests
3. Find PENDING request → Assign → select Technician</t>
        </is>
      </c>
      <c r="D14" s="161" t="inlineStr">
        <is>
          <t>Status = IN_PROGRESS. Technician name shown. Resident notified.</t>
        </is>
      </c>
      <c r="E14" s="161" t="inlineStr">
        <is>
          <t>PENDING request + active Technician</t>
        </is>
      </c>
      <c r="F14" s="158" t="inlineStr">
        <is>
          <t>Passed</t>
        </is>
      </c>
      <c r="G14" s="157" t="inlineStr">
        <is>
          <t>07/04/2026</t>
        </is>
      </c>
      <c r="H14" s="157" t="inlineStr">
        <is>
          <t>Team</t>
        </is>
      </c>
      <c r="I14" s="158" t="inlineStr">
        <is>
          <t>Passed</t>
        </is>
      </c>
      <c r="J14" s="157" t="inlineStr">
        <is>
          <t>07/04/2026</t>
        </is>
      </c>
      <c r="K14" s="157" t="inlineStr">
        <is>
          <t>Team</t>
        </is>
      </c>
      <c r="L14" s="158" t="inlineStr">
        <is>
          <t>Passed</t>
        </is>
      </c>
      <c r="M14" s="157" t="inlineStr">
        <is>
          <t>07/04/2026</t>
        </is>
      </c>
      <c r="N14" s="157" t="inlineStr">
        <is>
          <t>Team</t>
        </is>
      </c>
      <c r="O14" s="162" t="n"/>
      <c r="P14" s="154" t="n"/>
      <c r="Q14" s="163" t="n"/>
      <c r="R14" s="154" t="n"/>
    </row>
    <row r="15" ht="15.75" customFormat="1" customHeight="1" s="30">
      <c r="A15" s="156" t="inlineStr">
        <is>
          <t>REQ-04</t>
        </is>
      </c>
      <c r="B15" s="157" t="inlineStr">
        <is>
          <t>Technician marks request DONE with image</t>
        </is>
      </c>
      <c r="C15" s="157" t="inlineStr">
        <is>
          <t>1. Login as Technician
2. Find assigned IN_PROGRESS request
3. Mark Done → add note + upload image</t>
        </is>
      </c>
      <c r="D15" s="157" t="inlineStr">
        <is>
          <t>Status = DONE. Image and note saved. Resident notified.</t>
        </is>
      </c>
      <c r="E15" s="157" t="inlineStr">
        <is>
          <t>IN_PROGRESS request assigned to this Technician</t>
        </is>
      </c>
      <c r="F15" s="158" t="inlineStr">
        <is>
          <t>Passed</t>
        </is>
      </c>
      <c r="G15" s="157" t="inlineStr">
        <is>
          <t>07/04/2026</t>
        </is>
      </c>
      <c r="H15" s="157" t="inlineStr">
        <is>
          <t>Team</t>
        </is>
      </c>
      <c r="I15" s="158" t="inlineStr">
        <is>
          <t>Passed</t>
        </is>
      </c>
      <c r="J15" s="157" t="inlineStr">
        <is>
          <t>07/04/2026</t>
        </is>
      </c>
      <c r="K15" s="157" t="inlineStr">
        <is>
          <t>Team</t>
        </is>
      </c>
      <c r="L15" s="158" t="inlineStr">
        <is>
          <t>Passed</t>
        </is>
      </c>
      <c r="M15" s="157" t="inlineStr">
        <is>
          <t>07/04/2026</t>
        </is>
      </c>
      <c r="N15" s="157" t="inlineStr">
        <is>
          <t>Team</t>
        </is>
      </c>
      <c r="O15" s="165" t="n"/>
      <c r="P15" s="154" t="n"/>
      <c r="Q15" s="160" t="n"/>
      <c r="R15" s="154" t="n"/>
    </row>
    <row r="16" outlineLevel="1">
      <c r="A16" s="156" t="inlineStr">
        <is>
          <t>REQ-05</t>
        </is>
      </c>
      <c r="B16" s="157" t="inlineStr">
        <is>
          <t>Staff rejects request with reason</t>
        </is>
      </c>
      <c r="C16" s="157" t="inlineStr">
        <is>
          <t>1. Login as Manager
2. Find PENDING request → Reject → enter reason</t>
        </is>
      </c>
      <c r="D16" s="157" t="inlineStr">
        <is>
          <t>Status = REJECTED. Reason saved. Resident notified.</t>
        </is>
      </c>
      <c r="E16" s="157" t="inlineStr">
        <is>
          <t>PENDING request</t>
        </is>
      </c>
      <c r="F16" s="158" t="inlineStr">
        <is>
          <t>Passed</t>
        </is>
      </c>
      <c r="G16" s="157" t="inlineStr">
        <is>
          <t>07/04/2026</t>
        </is>
      </c>
      <c r="H16" s="157" t="inlineStr">
        <is>
          <t>Team</t>
        </is>
      </c>
      <c r="I16" s="158" t="inlineStr">
        <is>
          <t>Passed</t>
        </is>
      </c>
      <c r="J16" s="157" t="inlineStr">
        <is>
          <t>07/04/2026</t>
        </is>
      </c>
      <c r="K16" s="157" t="inlineStr">
        <is>
          <t>Team</t>
        </is>
      </c>
      <c r="L16" s="158" t="inlineStr">
        <is>
          <t>Passed</t>
        </is>
      </c>
      <c r="M16" s="157" t="inlineStr">
        <is>
          <t>07/04/2026</t>
        </is>
      </c>
      <c r="N16" s="157" t="inlineStr">
        <is>
          <t>Team</t>
        </is>
      </c>
      <c r="O16" s="162" t="n"/>
      <c r="P16" s="154" t="n"/>
      <c r="Q16" s="163" t="n"/>
      <c r="R16" s="154" t="n"/>
    </row>
    <row r="17" outlineLevel="1">
      <c r="A17" s="156" t="inlineStr">
        <is>
          <t>REQ-06</t>
        </is>
      </c>
      <c r="B17" s="157" t="inlineStr">
        <is>
          <t>Technician only sees own assigned requests</t>
        </is>
      </c>
      <c r="C17" s="157" t="inlineStr">
        <is>
          <t>1. Login as Technician
2. View service request list</t>
        </is>
      </c>
      <c r="D17" s="157" t="inlineStr">
        <is>
          <t>Only requests assigned to THIS Technician visible.</t>
        </is>
      </c>
      <c r="E17" s="157" t="inlineStr">
        <is>
          <t>Requests assigned to multiple technicians</t>
        </is>
      </c>
      <c r="F17" s="158" t="inlineStr">
        <is>
          <t>Passed</t>
        </is>
      </c>
      <c r="G17" s="161" t="inlineStr">
        <is>
          <t>07/04/2026</t>
        </is>
      </c>
      <c r="H17" s="161" t="inlineStr">
        <is>
          <t>Team</t>
        </is>
      </c>
      <c r="I17" s="158" t="inlineStr">
        <is>
          <t>Passed</t>
        </is>
      </c>
      <c r="J17" s="161" t="inlineStr">
        <is>
          <t>07/04/2026</t>
        </is>
      </c>
      <c r="K17" s="161" t="inlineStr">
        <is>
          <t>Team</t>
        </is>
      </c>
      <c r="L17" s="158" t="inlineStr">
        <is>
          <t>Passed</t>
        </is>
      </c>
      <c r="M17" s="161" t="inlineStr">
        <is>
          <t>07/04/2026</t>
        </is>
      </c>
      <c r="N17" s="161" t="inlineStr">
        <is>
          <t>Team</t>
        </is>
      </c>
      <c r="O17" s="166" t="n"/>
      <c r="P17" s="154" t="n"/>
      <c r="Q17" s="154" t="n"/>
      <c r="R17" s="154" t="n"/>
    </row>
    <row r="18">
      <c r="A18" s="172" t="inlineStr">
        <is>
          <t>Scenario C — Resident Actions on Requests (UC19, UC20, UC21)</t>
        </is>
      </c>
      <c r="B18" s="173" t="n"/>
      <c r="C18" s="173" t="n"/>
      <c r="D18" s="173" t="n"/>
      <c r="E18" s="173" t="n"/>
      <c r="F18" s="173" t="n"/>
      <c r="G18" s="173" t="n"/>
      <c r="H18" s="173" t="n"/>
      <c r="I18" s="173" t="n"/>
      <c r="J18" s="173" t="n"/>
      <c r="K18" s="173" t="n"/>
      <c r="L18" s="173" t="n"/>
      <c r="M18" s="173" t="n"/>
      <c r="N18" s="173" t="n"/>
    </row>
    <row r="19">
      <c r="A19" s="169" t="inlineStr">
        <is>
          <t>REQ-07</t>
        </is>
      </c>
      <c r="B19" s="170" t="inlineStr">
        <is>
          <t>Resident cancels PENDING request</t>
        </is>
      </c>
      <c r="C19" s="170" t="inlineStr">
        <is>
          <t>1. Login as Resident
2. /resident/requests → find PENDING request
3. Click Cancel → Confirm</t>
        </is>
      </c>
      <c r="D19" s="170" t="inlineStr">
        <is>
          <t>Status = CANCELLED. Cannot be un-cancelled.</t>
        </is>
      </c>
      <c r="E19" s="170" t="inlineStr">
        <is>
          <t>PENDING request by this resident</t>
        </is>
      </c>
      <c r="F19" s="171" t="inlineStr">
        <is>
          <t>Passed</t>
        </is>
      </c>
      <c r="G19" s="170" t="inlineStr">
        <is>
          <t>07/04/2026</t>
        </is>
      </c>
      <c r="H19" s="170" t="inlineStr">
        <is>
          <t>Team</t>
        </is>
      </c>
      <c r="I19" s="171" t="inlineStr">
        <is>
          <t>Passed</t>
        </is>
      </c>
      <c r="J19" s="170" t="inlineStr">
        <is>
          <t>07/04/2026</t>
        </is>
      </c>
      <c r="K19" s="170" t="inlineStr">
        <is>
          <t>Team</t>
        </is>
      </c>
      <c r="L19" s="171" t="inlineStr">
        <is>
          <t>Passed</t>
        </is>
      </c>
      <c r="M19" s="170" t="inlineStr">
        <is>
          <t>07/04/2026</t>
        </is>
      </c>
      <c r="N19" s="170" t="inlineStr">
        <is>
          <t>Team</t>
        </is>
      </c>
    </row>
    <row r="20">
      <c r="A20" s="169" t="inlineStr">
        <is>
          <t>REQ-08</t>
        </is>
      </c>
      <c r="B20" s="170" t="inlineStr">
        <is>
          <t>Cannot cancel IN_PROGRESS request</t>
        </is>
      </c>
      <c r="C20" s="170" t="inlineStr">
        <is>
          <t>1. Try to cancel IN_PROGRESS request</t>
        </is>
      </c>
      <c r="D20" s="170" t="inlineStr">
        <is>
          <t>Error: "Chỉ có thể hủy yêu cầu đang ở trạng thái PENDING". Cancel blocked.</t>
        </is>
      </c>
      <c r="E20" s="170" t="inlineStr">
        <is>
          <t>IN_PROGRESS request</t>
        </is>
      </c>
      <c r="F20" s="171" t="inlineStr">
        <is>
          <t>Passed</t>
        </is>
      </c>
      <c r="G20" s="170" t="inlineStr">
        <is>
          <t>07/04/2026</t>
        </is>
      </c>
      <c r="H20" s="170" t="inlineStr">
        <is>
          <t>Team</t>
        </is>
      </c>
      <c r="I20" s="171" t="inlineStr">
        <is>
          <t>Passed</t>
        </is>
      </c>
      <c r="J20" s="170" t="inlineStr">
        <is>
          <t>07/04/2026</t>
        </is>
      </c>
      <c r="K20" s="170" t="inlineStr">
        <is>
          <t>Team</t>
        </is>
      </c>
      <c r="L20" s="171" t="inlineStr">
        <is>
          <t>Passed</t>
        </is>
      </c>
      <c r="M20" s="170" t="inlineStr">
        <is>
          <t>07/04/2026</t>
        </is>
      </c>
      <c r="N20" s="170" t="inlineStr">
        <is>
          <t>Team</t>
        </is>
      </c>
    </row>
    <row r="21">
      <c r="A21" s="169" t="inlineStr">
        <is>
          <t>REQ-09</t>
        </is>
      </c>
      <c r="B21" s="170" t="inlineStr">
        <is>
          <t>Resident confirms DONE request</t>
        </is>
      </c>
      <c r="C21" s="170" t="inlineStr">
        <is>
          <t>1. Find DONE request
2. Click Confirm Completion</t>
        </is>
      </c>
      <c r="D21" s="170" t="inlineStr">
        <is>
          <t>residentConfirmed = true. confirmedAt timestamp set.</t>
        </is>
      </c>
      <c r="E21" s="170" t="inlineStr">
        <is>
          <t>DONE (unconfirmed) request</t>
        </is>
      </c>
      <c r="F21" s="171" t="inlineStr">
        <is>
          <t>Passed</t>
        </is>
      </c>
      <c r="G21" s="170" t="inlineStr">
        <is>
          <t>07/04/2026</t>
        </is>
      </c>
      <c r="H21" s="170" t="inlineStr">
        <is>
          <t>Team</t>
        </is>
      </c>
      <c r="I21" s="171" t="inlineStr">
        <is>
          <t>Passed</t>
        </is>
      </c>
      <c r="J21" s="170" t="inlineStr">
        <is>
          <t>07/04/2026</t>
        </is>
      </c>
      <c r="K21" s="170" t="inlineStr">
        <is>
          <t>Team</t>
        </is>
      </c>
      <c r="L21" s="171" t="inlineStr">
        <is>
          <t>Passed</t>
        </is>
      </c>
      <c r="M21" s="170" t="inlineStr">
        <is>
          <t>07/04/2026</t>
        </is>
      </c>
      <c r="N21" s="170" t="inlineStr">
        <is>
          <t>Team</t>
        </is>
      </c>
    </row>
    <row r="22">
      <c r="A22" s="169" t="inlineStr">
        <is>
          <t>REQ-10</t>
        </is>
      </c>
      <c r="B22" s="170" t="inlineStr">
        <is>
          <t>Resident views DONE request detail with image</t>
        </is>
      </c>
      <c r="C22" s="170" t="inlineStr">
        <is>
          <t>1. Click on DONE request to view detail</t>
        </is>
      </c>
      <c r="D22" s="170" t="inlineStr">
        <is>
          <t>Detail shows title, description, status, note, completion image, assigned staff name.</t>
        </is>
      </c>
      <c r="E22" s="170" t="inlineStr">
        <is>
          <t>DONE request with image uploaded</t>
        </is>
      </c>
      <c r="F22" s="171" t="inlineStr">
        <is>
          <t>Passed</t>
        </is>
      </c>
      <c r="G22" s="170" t="inlineStr">
        <is>
          <t>07/04/2026</t>
        </is>
      </c>
      <c r="H22" s="170" t="inlineStr">
        <is>
          <t>Team</t>
        </is>
      </c>
      <c r="I22" s="171" t="inlineStr">
        <is>
          <t>Passed</t>
        </is>
      </c>
      <c r="J22" s="170" t="inlineStr">
        <is>
          <t>07/04/2026</t>
        </is>
      </c>
      <c r="K22" s="170" t="inlineStr">
        <is>
          <t>Team</t>
        </is>
      </c>
      <c r="L22" s="171" t="inlineStr">
        <is>
          <t>Passed</t>
        </is>
      </c>
      <c r="M22" s="170" t="inlineStr">
        <is>
          <t>07/04/2026</t>
        </is>
      </c>
      <c r="N22" s="170" t="inlineStr">
        <is>
          <t>Team</t>
        </is>
      </c>
    </row>
    <row r="23">
      <c r="A23" s="172" t="inlineStr">
        <is>
          <t>Scenario D — Vehicle Registration (UC23–UC25)</t>
        </is>
      </c>
      <c r="B23" s="173" t="n"/>
      <c r="C23" s="173" t="n"/>
      <c r="D23" s="173" t="n"/>
      <c r="E23" s="173" t="n"/>
      <c r="F23" s="173" t="n"/>
      <c r="G23" s="173" t="n"/>
      <c r="H23" s="173" t="n"/>
      <c r="I23" s="173" t="n"/>
      <c r="J23" s="173" t="n"/>
      <c r="K23" s="173" t="n"/>
      <c r="L23" s="173" t="n"/>
      <c r="M23" s="173" t="n"/>
      <c r="N23" s="173" t="n"/>
    </row>
    <row r="24">
      <c r="A24" s="169" t="inlineStr">
        <is>
          <t>VEH-01</t>
        </is>
      </c>
      <c r="B24" s="170" t="inlineStr">
        <is>
          <t>Resident registers vehicle</t>
        </is>
      </c>
      <c r="C24" s="170" t="inlineStr">
        <is>
          <t>1. Login as Resident
2. /resident/vehicles → register
3. Fill type=MOTORBIKE, licensePlate, brand, durationType=MONTHLY</t>
        </is>
      </c>
      <c r="D24" s="170" t="inlineStr">
        <is>
          <t>Vehicle created (pendingStatus=PENDING). Visible in resident vehicle list.</t>
        </is>
      </c>
      <c r="E24" s="170" t="inlineStr">
        <is>
          <t>Active resident with apartment</t>
        </is>
      </c>
      <c r="F24" s="171" t="inlineStr">
        <is>
          <t>Passed</t>
        </is>
      </c>
      <c r="G24" s="170" t="inlineStr">
        <is>
          <t>07/04/2026</t>
        </is>
      </c>
      <c r="H24" s="170" t="inlineStr">
        <is>
          <t>Team</t>
        </is>
      </c>
      <c r="I24" s="171" t="inlineStr">
        <is>
          <t>Passed</t>
        </is>
      </c>
      <c r="J24" s="170" t="inlineStr">
        <is>
          <t>07/04/2026</t>
        </is>
      </c>
      <c r="K24" s="170" t="inlineStr">
        <is>
          <t>Team</t>
        </is>
      </c>
      <c r="L24" s="171" t="inlineStr">
        <is>
          <t>Passed</t>
        </is>
      </c>
      <c r="M24" s="170" t="inlineStr">
        <is>
          <t>07/04/2026</t>
        </is>
      </c>
      <c r="N24" s="170" t="inlineStr">
        <is>
          <t>Team</t>
        </is>
      </c>
    </row>
    <row r="25">
      <c r="A25" s="169" t="inlineStr">
        <is>
          <t>VEH-02</t>
        </is>
      </c>
      <c r="B25" s="170" t="inlineStr">
        <is>
          <t>Staff approves vehicle</t>
        </is>
      </c>
      <c r="C25" s="170" t="inlineStr">
        <is>
          <t>1. Login as Receptionist
2. /dashboard/vehicles → find PENDING vehicle → Approve</t>
        </is>
      </c>
      <c r="D25" s="170" t="inlineStr">
        <is>
          <t>pendingStatus = APPROVED. expiredAt calculated (+1 month for MONTHLY). Resident notified.</t>
        </is>
      </c>
      <c r="E25" s="170" t="inlineStr">
        <is>
          <t>PENDING vehicle registration</t>
        </is>
      </c>
      <c r="F25" s="171" t="inlineStr">
        <is>
          <t>Passed</t>
        </is>
      </c>
      <c r="G25" s="170" t="inlineStr">
        <is>
          <t>07/04/2026</t>
        </is>
      </c>
      <c r="H25" s="170" t="inlineStr">
        <is>
          <t>Team</t>
        </is>
      </c>
      <c r="I25" s="171" t="inlineStr">
        <is>
          <t>Passed</t>
        </is>
      </c>
      <c r="J25" s="170" t="inlineStr">
        <is>
          <t>07/04/2026</t>
        </is>
      </c>
      <c r="K25" s="170" t="inlineStr">
        <is>
          <t>Team</t>
        </is>
      </c>
      <c r="L25" s="171" t="inlineStr">
        <is>
          <t>Passed</t>
        </is>
      </c>
      <c r="M25" s="170" t="inlineStr">
        <is>
          <t>07/04/2026</t>
        </is>
      </c>
      <c r="N25" s="170" t="inlineStr">
        <is>
          <t>Team</t>
        </is>
      </c>
    </row>
    <row r="26">
      <c r="A26" s="169" t="inlineStr">
        <is>
          <t>VEH-03</t>
        </is>
      </c>
      <c r="B26" s="170" t="inlineStr">
        <is>
          <t>Staff rejects vehicle with reason</t>
        </is>
      </c>
      <c r="C26" s="170" t="inlineStr">
        <is>
          <t>1. Find PENDING vehicle → Reject → enter reason</t>
        </is>
      </c>
      <c r="D26" s="170" t="inlineStr">
        <is>
          <t>pendingStatus = REJECTED. Reason saved. Resident notified.</t>
        </is>
      </c>
      <c r="E26" s="170" t="inlineStr">
        <is>
          <t>PENDING vehicle registration</t>
        </is>
      </c>
      <c r="F26" s="171" t="inlineStr">
        <is>
          <t>Passed</t>
        </is>
      </c>
      <c r="G26" s="170" t="inlineStr">
        <is>
          <t>07/04/2026</t>
        </is>
      </c>
      <c r="H26" s="170" t="inlineStr">
        <is>
          <t>Team</t>
        </is>
      </c>
      <c r="I26" s="171" t="inlineStr">
        <is>
          <t>Passed</t>
        </is>
      </c>
      <c r="J26" s="170" t="inlineStr">
        <is>
          <t>07/04/2026</t>
        </is>
      </c>
      <c r="K26" s="170" t="inlineStr">
        <is>
          <t>Team</t>
        </is>
      </c>
      <c r="L26" s="171" t="inlineStr">
        <is>
          <t>Passed</t>
        </is>
      </c>
      <c r="M26" s="170" t="inlineStr">
        <is>
          <t>07/04/2026</t>
        </is>
      </c>
      <c r="N26" s="170" t="inlineStr">
        <is>
          <t>Team</t>
        </is>
      </c>
    </row>
    <row r="27">
      <c r="A27" s="169" t="inlineStr">
        <is>
          <t>VEH-04</t>
        </is>
      </c>
      <c r="B27" s="170" t="inlineStr">
        <is>
          <t>Duplicate license plate rejected</t>
        </is>
      </c>
      <c r="C27" s="170" t="inlineStr">
        <is>
          <t>1. Try to register vehicle with license plate already in DB</t>
        </is>
      </c>
      <c r="D27" s="170" t="inlineStr">
        <is>
          <t>Error: duplicate license plate. Vehicle not created.</t>
        </is>
      </c>
      <c r="E27" s="170" t="inlineStr">
        <is>
          <t>Vehicle with same license plate exists</t>
        </is>
      </c>
      <c r="F27" s="171" t="inlineStr">
        <is>
          <t>Passed</t>
        </is>
      </c>
      <c r="G27" s="170" t="inlineStr">
        <is>
          <t>07/04/2026</t>
        </is>
      </c>
      <c r="H27" s="170" t="inlineStr">
        <is>
          <t>Team</t>
        </is>
      </c>
      <c r="I27" s="171" t="inlineStr">
        <is>
          <t>Passed</t>
        </is>
      </c>
      <c r="J27" s="170" t="inlineStr">
        <is>
          <t>07/04/2026</t>
        </is>
      </c>
      <c r="K27" s="170" t="inlineStr">
        <is>
          <t>Team</t>
        </is>
      </c>
      <c r="L27" s="171" t="inlineStr">
        <is>
          <t>Passed</t>
        </is>
      </c>
      <c r="M27" s="170" t="inlineStr">
        <is>
          <t>07/04/2026</t>
        </is>
      </c>
      <c r="N27" s="170" t="inlineStr">
        <is>
          <t>Team</t>
        </is>
      </c>
    </row>
    <row r="28">
      <c r="A28" s="172" t="inlineStr">
        <is>
          <t>Scenario E — Notifications (UC27–UC28)</t>
        </is>
      </c>
      <c r="B28" s="173" t="n"/>
      <c r="C28" s="173" t="n"/>
      <c r="D28" s="173" t="n"/>
      <c r="E28" s="173" t="n"/>
      <c r="F28" s="173" t="n"/>
      <c r="G28" s="173" t="n"/>
      <c r="H28" s="173" t="n"/>
      <c r="I28" s="173" t="n"/>
      <c r="J28" s="173" t="n"/>
      <c r="K28" s="173" t="n"/>
      <c r="L28" s="173" t="n"/>
      <c r="M28" s="173" t="n"/>
      <c r="N28" s="173" t="n"/>
    </row>
    <row r="29">
      <c r="A29" s="169" t="inlineStr">
        <is>
          <t>NOTIF-01</t>
        </is>
      </c>
      <c r="B29" s="170" t="inlineStr">
        <is>
          <t>Staff broadcasts to entire building</t>
        </is>
      </c>
      <c r="C29" s="170" t="inlineStr">
        <is>
          <t>1. Login as Manager
2. /dashboard/notifications → type=broadcast → select building
3. Enter title + content → Send</t>
        </is>
      </c>
      <c r="D29" s="170" t="inlineStr">
        <is>
          <t>Notification sent to all ACTIVE residents in building. Unread badge incremented.</t>
        </is>
      </c>
      <c r="E29" s="170" t="inlineStr">
        <is>
          <t>Building with active residents</t>
        </is>
      </c>
      <c r="F29" s="171" t="inlineStr">
        <is>
          <t>Passed</t>
        </is>
      </c>
      <c r="G29" s="170" t="inlineStr">
        <is>
          <t>07/04/2026</t>
        </is>
      </c>
      <c r="H29" s="170" t="inlineStr">
        <is>
          <t>Team</t>
        </is>
      </c>
      <c r="I29" s="171" t="inlineStr">
        <is>
          <t>Passed</t>
        </is>
      </c>
      <c r="J29" s="170" t="inlineStr">
        <is>
          <t>07/04/2026</t>
        </is>
      </c>
      <c r="K29" s="170" t="inlineStr">
        <is>
          <t>Team</t>
        </is>
      </c>
      <c r="L29" s="171" t="inlineStr">
        <is>
          <t>Passed</t>
        </is>
      </c>
      <c r="M29" s="170" t="inlineStr">
        <is>
          <t>07/04/2026</t>
        </is>
      </c>
      <c r="N29" s="170" t="inlineStr">
        <is>
          <t>Team</t>
        </is>
      </c>
    </row>
    <row r="30">
      <c r="A30" s="169" t="inlineStr">
        <is>
          <t>NOTIF-02</t>
        </is>
      </c>
      <c r="B30" s="170" t="inlineStr">
        <is>
          <t>Staff sends personal notification</t>
        </is>
      </c>
      <c r="C30" s="170" t="inlineStr">
        <is>
          <t>1. type=personal → select specific resident → send</t>
        </is>
      </c>
      <c r="D30" s="170" t="inlineStr">
        <is>
          <t>Only that resident receives notification.</t>
        </is>
      </c>
      <c r="E30" s="170" t="inlineStr">
        <is>
          <t>Active resident</t>
        </is>
      </c>
      <c r="F30" s="171" t="inlineStr">
        <is>
          <t>Passed</t>
        </is>
      </c>
      <c r="G30" s="170" t="inlineStr">
        <is>
          <t>07/04/2026</t>
        </is>
      </c>
      <c r="H30" s="170" t="inlineStr">
        <is>
          <t>Team</t>
        </is>
      </c>
      <c r="I30" s="171" t="inlineStr">
        <is>
          <t>Passed</t>
        </is>
      </c>
      <c r="J30" s="170" t="inlineStr">
        <is>
          <t>07/04/2026</t>
        </is>
      </c>
      <c r="K30" s="170" t="inlineStr">
        <is>
          <t>Team</t>
        </is>
      </c>
      <c r="L30" s="171" t="inlineStr">
        <is>
          <t>Passed</t>
        </is>
      </c>
      <c r="M30" s="170" t="inlineStr">
        <is>
          <t>07/04/2026</t>
        </is>
      </c>
      <c r="N30" s="170" t="inlineStr">
        <is>
          <t>Team</t>
        </is>
      </c>
    </row>
    <row r="31">
      <c r="A31" s="169" t="inlineStr">
        <is>
          <t>NOTIF-03</t>
        </is>
      </c>
      <c r="B31" s="170" t="inlineStr">
        <is>
          <t>Resident marks notification as read</t>
        </is>
      </c>
      <c r="C31" s="170" t="inlineStr">
        <is>
          <t>1. Login as Resident
2. /resident/notifications → click on unread notification</t>
        </is>
      </c>
      <c r="D31" s="170" t="inlineStr">
        <is>
          <t>Notification is_read = true. Unread count decremented.</t>
        </is>
      </c>
      <c r="E31" s="170" t="inlineStr">
        <is>
          <t>Unread notification exists</t>
        </is>
      </c>
      <c r="F31" s="171" t="inlineStr">
        <is>
          <t>Passed</t>
        </is>
      </c>
      <c r="G31" s="170" t="inlineStr">
        <is>
          <t>07/04/2026</t>
        </is>
      </c>
      <c r="H31" s="170" t="inlineStr">
        <is>
          <t>Team</t>
        </is>
      </c>
      <c r="I31" s="171" t="inlineStr">
        <is>
          <t>Passed</t>
        </is>
      </c>
      <c r="J31" s="170" t="inlineStr">
        <is>
          <t>07/04/2026</t>
        </is>
      </c>
      <c r="K31" s="170" t="inlineStr">
        <is>
          <t>Team</t>
        </is>
      </c>
      <c r="L31" s="171" t="inlineStr">
        <is>
          <t>Passed</t>
        </is>
      </c>
      <c r="M31" s="170" t="inlineStr">
        <is>
          <t>07/04/2026</t>
        </is>
      </c>
      <c r="N31" s="170" t="inlineStr">
        <is>
          <t>Team</t>
        </is>
      </c>
    </row>
    <row r="32">
      <c r="A32" s="169" t="inlineStr">
        <is>
          <t>NOTIF-04</t>
        </is>
      </c>
      <c r="B32" s="170" t="inlineStr">
        <is>
          <t>Resident marks all notifications as read</t>
        </is>
      </c>
      <c r="C32" s="170" t="inlineStr">
        <is>
          <t>1. /resident/notifications → click "Mark all as read"</t>
        </is>
      </c>
      <c r="D32" s="170" t="inlineStr">
        <is>
          <t>All notifications is_read = true. Badge shows 0.</t>
        </is>
      </c>
      <c r="E32" s="170" t="inlineStr">
        <is>
          <t>Multiple unread notifications</t>
        </is>
      </c>
      <c r="F32" s="171" t="inlineStr">
        <is>
          <t>Passed</t>
        </is>
      </c>
      <c r="G32" s="170" t="inlineStr">
        <is>
          <t>07/04/2026</t>
        </is>
      </c>
      <c r="H32" s="170" t="inlineStr">
        <is>
          <t>Team</t>
        </is>
      </c>
      <c r="I32" s="171" t="inlineStr">
        <is>
          <t>Passed</t>
        </is>
      </c>
      <c r="J32" s="170" t="inlineStr">
        <is>
          <t>07/04/2026</t>
        </is>
      </c>
      <c r="K32" s="170" t="inlineStr">
        <is>
          <t>Team</t>
        </is>
      </c>
      <c r="L32" s="171" t="inlineStr">
        <is>
          <t>Passed</t>
        </is>
      </c>
      <c r="M32" s="170" t="inlineStr">
        <is>
          <t>07/04/2026</t>
        </is>
      </c>
      <c r="N32" s="170" t="inlineStr">
        <is>
          <t>Team</t>
        </is>
      </c>
    </row>
    <row r="33">
      <c r="A33" s="172" t="inlineStr">
        <is>
          <t>Scenario F — Access Cards + Apartment Info (UC26, UC29)</t>
        </is>
      </c>
      <c r="B33" s="173" t="n"/>
      <c r="C33" s="173" t="n"/>
      <c r="D33" s="173" t="n"/>
      <c r="E33" s="173" t="n"/>
      <c r="F33" s="173" t="n"/>
      <c r="G33" s="173" t="n"/>
      <c r="H33" s="173" t="n"/>
      <c r="I33" s="173" t="n"/>
      <c r="J33" s="173" t="n"/>
      <c r="K33" s="173" t="n"/>
      <c r="L33" s="173" t="n"/>
      <c r="M33" s="173" t="n"/>
      <c r="N33" s="173" t="n"/>
    </row>
    <row r="34">
      <c r="A34" s="169" t="inlineStr">
        <is>
          <t>NOTIF-05</t>
        </is>
      </c>
      <c r="B34" s="170" t="inlineStr">
        <is>
          <t>Issue access card to resident</t>
        </is>
      </c>
      <c r="C34" s="170" t="inlineStr">
        <is>
          <t>1. Login as Manager
2. Find active resident
3. Issue access card with expiry date</t>
        </is>
      </c>
      <c r="D34" s="170" t="inlineStr">
        <is>
          <t>AccessCard record (ACTIVE). Visible on resident apartment page.</t>
        </is>
      </c>
      <c r="E34" s="170" t="inlineStr">
        <is>
          <t>Active resident with apartment</t>
        </is>
      </c>
      <c r="F34" s="171" t="inlineStr">
        <is>
          <t>Passed</t>
        </is>
      </c>
      <c r="G34" s="170" t="inlineStr">
        <is>
          <t>07/04/2026</t>
        </is>
      </c>
      <c r="H34" s="170" t="inlineStr">
        <is>
          <t>Team</t>
        </is>
      </c>
      <c r="I34" s="171" t="inlineStr">
        <is>
          <t>Passed</t>
        </is>
      </c>
      <c r="J34" s="170" t="inlineStr">
        <is>
          <t>07/04/2026</t>
        </is>
      </c>
      <c r="K34" s="170" t="inlineStr">
        <is>
          <t>Team</t>
        </is>
      </c>
      <c r="L34" s="171" t="inlineStr">
        <is>
          <t>Passed</t>
        </is>
      </c>
      <c r="M34" s="170" t="inlineStr">
        <is>
          <t>07/04/2026</t>
        </is>
      </c>
      <c r="N34" s="170" t="inlineStr">
        <is>
          <t>Team</t>
        </is>
      </c>
    </row>
    <row r="35">
      <c r="A35" s="169" t="inlineStr">
        <is>
          <t>NOTIF-06</t>
        </is>
      </c>
      <c r="B35" s="170" t="inlineStr">
        <is>
          <t>Resident views apartment info with fee charges</t>
        </is>
      </c>
      <c r="C35" s="170" t="inlineStr">
        <is>
          <t>1. Login as Resident
2. Navigate to /resident/apartment</t>
        </is>
      </c>
      <c r="D35" s="170" t="inlineStr">
        <is>
          <t>Page shows: apartment number, floor, area, building name/address, active fee charges table (name, type, unit, estimated amount), total estimated monthly cost, access cards, vehicles.</t>
        </is>
      </c>
      <c r="E35" s="170" t="inlineStr">
        <is>
          <t>Active resident with apartment + active fee templates + approved vehicles</t>
        </is>
      </c>
      <c r="F35" s="171" t="inlineStr">
        <is>
          <t>Passed</t>
        </is>
      </c>
      <c r="G35" s="170" t="inlineStr">
        <is>
          <t>07/04/2026</t>
        </is>
      </c>
      <c r="H35" s="170" t="inlineStr">
        <is>
          <t>Team</t>
        </is>
      </c>
      <c r="I35" s="171" t="inlineStr">
        <is>
          <t>Passed</t>
        </is>
      </c>
      <c r="J35" s="170" t="inlineStr">
        <is>
          <t>07/04/2026</t>
        </is>
      </c>
      <c r="K35" s="170" t="inlineStr">
        <is>
          <t>Team</t>
        </is>
      </c>
      <c r="L35" s="171" t="inlineStr">
        <is>
          <t>Passed</t>
        </is>
      </c>
      <c r="M35" s="170" t="inlineStr">
        <is>
          <t>07/04/2026</t>
        </is>
      </c>
      <c r="N35" s="170" t="inlineStr">
        <is>
          <t>Team</t>
        </is>
      </c>
    </row>
    <row r="36">
      <c r="A36" s="169" t="inlineStr">
        <is>
          <t>NOTIF-07</t>
        </is>
      </c>
      <c r="B36" s="170" t="inlineStr">
        <is>
          <t>Resident without fee templates sees empty fee section</t>
        </is>
      </c>
      <c r="C36" s="170" t="inlineStr">
        <is>
          <t>1. Login as Resident in building with no active fee templates
2. /resident/apartment</t>
        </is>
      </c>
      <c r="D36" s="170" t="inlineStr">
        <is>
          <t>Fee section shows: "Ban quản lý chưa cấu hình mẫu phí".</t>
        </is>
      </c>
      <c r="E36" s="170" t="inlineStr">
        <is>
          <t>Active resident; building has NO active fee templates</t>
        </is>
      </c>
      <c r="F36" s="171" t="inlineStr">
        <is>
          <t>Passed</t>
        </is>
      </c>
      <c r="G36" s="170" t="inlineStr">
        <is>
          <t>07/04/2026</t>
        </is>
      </c>
      <c r="H36" s="170" t="inlineStr">
        <is>
          <t>Team</t>
        </is>
      </c>
      <c r="I36" s="171" t="inlineStr">
        <is>
          <t>Passed</t>
        </is>
      </c>
      <c r="J36" s="170" t="inlineStr">
        <is>
          <t>07/04/2026</t>
        </is>
      </c>
      <c r="K36" s="170" t="inlineStr">
        <is>
          <t>Team</t>
        </is>
      </c>
      <c r="L36" s="171" t="inlineStr">
        <is>
          <t>Passed</t>
        </is>
      </c>
      <c r="M36" s="170" t="inlineStr">
        <is>
          <t>07/04/2026</t>
        </is>
      </c>
      <c r="N36" s="170" t="inlineStr">
        <is>
          <t>Team</t>
        </is>
      </c>
    </row>
  </sheetData>
  <mergeCells count="3">
    <mergeCell ref="B3:E3"/>
    <mergeCell ref="B2:E2"/>
    <mergeCell ref="B4:E4"/>
  </mergeCells>
  <dataValidations count="2">
    <dataValidation sqref="F10 I10 L10" showDropDown="0" showInputMessage="0" showErrorMessage="1" allowBlank="1"/>
    <dataValidation sqref="F12:F17 G2:G3 G9 G18:G145 I12:I17 J2:J3 J9 J18:J145 L12:L17 M2:M3 M9 M18:M145" showDropDown="0" showInputMessage="0" showErrorMessage="1" allowBlank="1" type="list">
      <formula1>$R$2:$R$5</formula1>
      <formula2>0</formula2>
    </dataValidation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:title xmlns:dc="http://purl.org/dc/elements/1.1/">Test case</dc:title>
  <dc:description xmlns:dc="http://purl.org/dc/elements/1.1/">Updates sheet Cover: Add logo, document code, creator, reviewer/approver._x000d_
Add sheet Test Case List._x000d_
Change Sheet Company, User, Provider to Modules. Add column Inter-test case dependent. Update these sheets._x000d_
Update Test Report</dc:description>
  <dc:subject xmlns:dc="http://purl.org/dc/elements/1.1/">v1/0</dc:subject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2026-04-07T04:24:06Z</dcterms:modified>
  <cp:lastModifiedBy>Hieu Vu</cp:lastModifiedBy>
  <cp:category>BM</cp:category>
  <cp:lastPrinted>2010-11-12T10:33:20Z</cp:lastPrinted>
</cp:coreProperties>
</file>